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f5533d838f9bd6a/Documents/"/>
    </mc:Choice>
  </mc:AlternateContent>
  <xr:revisionPtr revIDLastSave="0" documentId="14_{ED905F82-4A54-4A66-A36C-C32DD5FB38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2" i="1"/>
</calcChain>
</file>

<file path=xl/sharedStrings.xml><?xml version="1.0" encoding="utf-8"?>
<sst xmlns="http://schemas.openxmlformats.org/spreadsheetml/2006/main" count="434" uniqueCount="35">
  <si>
    <t>Model</t>
  </si>
  <si>
    <t>Country</t>
  </si>
  <si>
    <t>Year</t>
  </si>
  <si>
    <t>Sales</t>
  </si>
  <si>
    <t>Revenue</t>
  </si>
  <si>
    <t>Price</t>
  </si>
  <si>
    <t>Segment</t>
  </si>
  <si>
    <t>Fuel_Type</t>
  </si>
  <si>
    <t>X1</t>
  </si>
  <si>
    <t>X3</t>
  </si>
  <si>
    <t>X5</t>
  </si>
  <si>
    <t>3 Series</t>
  </si>
  <si>
    <t>5 Series</t>
  </si>
  <si>
    <t>iX1</t>
  </si>
  <si>
    <t>M3</t>
  </si>
  <si>
    <t>India</t>
  </si>
  <si>
    <t>USA</t>
  </si>
  <si>
    <t>China</t>
  </si>
  <si>
    <t>SUV</t>
  </si>
  <si>
    <t>Sedan</t>
  </si>
  <si>
    <t>ICE</t>
  </si>
  <si>
    <t>EV</t>
  </si>
  <si>
    <t>Cannibalization_Index</t>
  </si>
  <si>
    <t>Demand_Score</t>
  </si>
  <si>
    <t>EV_Adoption_Rate</t>
  </si>
  <si>
    <t>Price_Sensitivity</t>
  </si>
  <si>
    <t>Feature_Impact_Score</t>
  </si>
  <si>
    <t>CAR</t>
  </si>
  <si>
    <t>https://raw.githubusercontent.com/shaikrijwana475/BMW-X1-BG/0c506e068c8e3685e655c08046f058f886aa81d9/BMW%20X1.png</t>
  </si>
  <si>
    <t>https://raw.githubusercontent.com/shaikrijwana475/BMW-X1-BG/8d556b16a6f0578ea7bb5843650b030ce9161ec2/bmw-x3.png</t>
  </si>
  <si>
    <t>https://raw.githubusercontent.com/shaikrijwana475/BMW-X1-BG/a5fdbbbcad56abb8f9aa4350bbff837ba62d85eb/BMW%20X5%20BACK%20GROUND.jpeg</t>
  </si>
  <si>
    <t>https://raw.githubusercontent.com/shaikrijwana475/BMW-X1-BG/24f50107a9607959843d2417db64a433aae8bea3/BMW%203%20SERIES.jpeg</t>
  </si>
  <si>
    <t>https://raw.githubusercontent.com/shaikrijwana475/BMW-X1-BG/5c8df1c5b2b2df6933f875809dcccaf053cc3d25/BMW%205%20SERIES.jpeg</t>
  </si>
  <si>
    <t>https://raw.githubusercontent.com/shaikrijwana475/BMW-X1-BG/5dfb05cba079d5e1ffab0ae9a5dcc48ccca46418/BMW%20iX1.jpeg</t>
  </si>
  <si>
    <t>https://raw.githubusercontent.com/shaikrijwana475/BMW-X1-BG/648f28c5fa917ca483b4d6c7aaf819c8eff6ac1d/BMW%20M3.jpeg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</si>
</sst>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aw.githubusercontent.com/shaikrijwana475/BMW-X1-BG/24f50107a9607959843d2417db64a433aae8bea3/BMW%203%20SERIES.jpeg" TargetMode="External"/><Relationship Id="rId13" Type="http://schemas.openxmlformats.org/officeDocument/2006/relationships/hyperlink" Target="https://raw.githubusercontent.com/shaikrijwana475/BMW-X1-BG/5dfb05cba079d5e1ffab0ae9a5dcc48ccca46418/BMW%20iX1.jpeg" TargetMode="External"/><Relationship Id="rId3" Type="http://schemas.openxmlformats.org/officeDocument/2006/relationships/hyperlink" Target="https://raw.githubusercontent.com/shaikrijwana475/BMW-X1-BG/8d556b16a6f0578ea7bb5843650b030ce9161ec2/bmw-x3.png" TargetMode="External"/><Relationship Id="rId7" Type="http://schemas.openxmlformats.org/officeDocument/2006/relationships/hyperlink" Target="https://raw.githubusercontent.com/shaikrijwana475/BMW-X1-BG/24f50107a9607959843d2417db64a433aae8bea3/BMW%203%20SERIES.jpeg" TargetMode="External"/><Relationship Id="rId12" Type="http://schemas.openxmlformats.org/officeDocument/2006/relationships/hyperlink" Target="https://raw.githubusercontent.com/shaikrijwana475/BMW-X1-BG/5dfb05cba079d5e1ffab0ae9a5dcc48ccca46418/BMW%20iX1.jpeg" TargetMode="External"/><Relationship Id="rId2" Type="http://schemas.openxmlformats.org/officeDocument/2006/relationships/hyperlink" Target="https://raw.githubusercontent.com/shaikrijwana475/BMW-X1-BG/0c506e068c8e3685e655c08046f058f886aa81d9/BMW%20X1.png" TargetMode="External"/><Relationship Id="rId1" Type="http://schemas.openxmlformats.org/officeDocument/2006/relationships/hyperlink" Target="https://raw.githubusercontent.com/shaikrijwana475/BMW-X1-BG/0c506e068c8e3685e655c08046f058f886aa81d9/BMW%20X1.png" TargetMode="External"/><Relationship Id="rId6" Type="http://schemas.openxmlformats.org/officeDocument/2006/relationships/hyperlink" Target="https://raw.githubusercontent.com/shaikrijwana475/BMW-X1-BG/a5fdbbbcad56abb8f9aa4350bbff837ba62d85eb/BMW%20X5%20BACK%20GROUND.jpeg" TargetMode="External"/><Relationship Id="rId11" Type="http://schemas.openxmlformats.org/officeDocument/2006/relationships/hyperlink" Target="https://raw.githubusercontent.com/shaikrijwana475/BMW-X1-BG/5c8df1c5b2b2df6933f875809dcccaf053cc3d25/BMW%205%20SERIES.jpeg" TargetMode="External"/><Relationship Id="rId5" Type="http://schemas.openxmlformats.org/officeDocument/2006/relationships/hyperlink" Target="https://raw.githubusercontent.com/shaikrijwana475/BMW-X1-BG/a5fdbbbcad56abb8f9aa4350bbff837ba62d85eb/BMW%20X5%20BACK%20GROUND.jpeg" TargetMode="External"/><Relationship Id="rId15" Type="http://schemas.openxmlformats.org/officeDocument/2006/relationships/hyperlink" Target="https://raw.githubusercontent.com/shaikrijwana475/BMW-X1-BG/648f28c5fa917ca483b4d6c7aaf819c8eff6ac1d/BMW%20M3.jpeg" TargetMode="External"/><Relationship Id="rId10" Type="http://schemas.openxmlformats.org/officeDocument/2006/relationships/hyperlink" Target="https://raw.githubusercontent.com/shaikrijwana475/BMW-X1-BG/5c8df1c5b2b2df6933f875809dcccaf053cc3d25/BMW%205%20SERIES.jpeg" TargetMode="External"/><Relationship Id="rId4" Type="http://schemas.openxmlformats.org/officeDocument/2006/relationships/hyperlink" Target="https://raw.githubusercontent.com/shaikrijwana475/BMW-X1-BG/8d556b16a6f0578ea7bb5843650b030ce9161ec2/bmw-x3.png" TargetMode="External"/><Relationship Id="rId9" Type="http://schemas.openxmlformats.org/officeDocument/2006/relationships/hyperlink" Target="https://raw.githubusercontent.com/shaikrijwana475/BMW-X1-BG/5c8df1c5b2b2df6933f875809dcccaf053cc3d25/BMW%205%20SERIES.jpeg" TargetMode="External"/><Relationship Id="rId14" Type="http://schemas.openxmlformats.org/officeDocument/2006/relationships/hyperlink" Target="https://raw.githubusercontent.com/shaikrijwana475/BMW-X1-BG/648f28c5fa917ca483b4d6c7aaf819c8eff6ac1d/BMW%20M3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5"/>
  <sheetViews>
    <sheetView tabSelected="1" topLeftCell="A62" zoomScale="90" zoomScaleNormal="90" workbookViewId="0">
      <selection activeCell="N74" sqref="N74:N85"/>
    </sheetView>
  </sheetViews>
  <sheetFormatPr defaultRowHeight="14.4" x14ac:dyDescent="0.3"/>
  <cols>
    <col min="8" max="8" width="11.33203125" customWidth="1"/>
    <col min="9" max="9" width="14.33203125" customWidth="1"/>
    <col min="10" max="10" width="16.88671875" customWidth="1"/>
    <col min="11" max="11" width="20.109375" customWidth="1"/>
    <col min="12" max="12" width="17" customWidth="1"/>
    <col min="13" max="13" width="22.88671875" customWidth="1"/>
  </cols>
  <sheetData>
    <row r="1" spans="1:14" s="2" customFormat="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</row>
    <row r="2" spans="1:14" x14ac:dyDescent="0.3">
      <c r="A2" t="s">
        <v>8</v>
      </c>
      <c r="B2" t="s">
        <v>15</v>
      </c>
      <c r="C2">
        <v>2022</v>
      </c>
      <c r="D2">
        <v>12270</v>
      </c>
      <c r="E2">
        <v>552150000</v>
      </c>
      <c r="F2">
        <v>45</v>
      </c>
      <c r="G2" t="s">
        <v>18</v>
      </c>
      <c r="H2" t="s">
        <v>20</v>
      </c>
      <c r="I2">
        <f>IF(OR(A2="X1",A2="X3",A2="3 Series",A2="5 Series"),
0.65 + 0.02*(C2-2022),
IF(A2="iX1",
0.25 + 0.015*(C2-2022),
0.15 + 0.01*(C2-2022)))</f>
        <v>0.65</v>
      </c>
      <c r="J2">
        <f>D2 / _xlfn.MAXIFS($D:$D, $C:$C, C2)</f>
        <v>0.62916623936006566</v>
      </c>
      <c r="K2">
        <f>IF(H2="EV",
0.5 + 0.05*(C2-2022),
0.08 + 0.01*(C2-2022))</f>
        <v>0.08</v>
      </c>
      <c r="L2">
        <f>IF(A2="X1",0.85,
IF(A2="X3",0.55,
IF(A2="3 Series",0.6,
IF(A2="5 Series",0.5,
IF(A2="iX1",0.7,
IF(A2="X5",0.3,
IF(A2="M3",0.2,0.5)))))))</f>
        <v>0.85</v>
      </c>
      <c r="M2">
        <f>IF(A2="M3",0.92,
IF(A2="X5",0.88,
IF(A2="5 Series",0.82,
IF(A2="X3",0.8,
IF(A2="3 Series",0.78,
IF(A2="iX1",0.85,
IF(A2="X1",0.75,0.7)))))))</f>
        <v>0.75</v>
      </c>
      <c r="N2" s="3" t="s">
        <v>28</v>
      </c>
    </row>
    <row r="3" spans="1:14" x14ac:dyDescent="0.3">
      <c r="A3" t="s">
        <v>8</v>
      </c>
      <c r="B3" t="s">
        <v>15</v>
      </c>
      <c r="C3">
        <v>2023</v>
      </c>
      <c r="D3">
        <v>5860</v>
      </c>
      <c r="E3">
        <v>263700000</v>
      </c>
      <c r="F3">
        <v>45</v>
      </c>
      <c r="G3" t="s">
        <v>18</v>
      </c>
      <c r="H3" t="s">
        <v>20</v>
      </c>
      <c r="I3">
        <f t="shared" ref="I3:I66" si="0">IF(OR(A3="X1",A3="X3",A3="3 Series",A3="5 Series"),
0.65 + 0.02*(C3-2022),
IF(A3="iX1",
0.25 + 0.015*(C3-2022),
0.15 + 0.01*(C3-2022)))</f>
        <v>0.67</v>
      </c>
      <c r="J3">
        <f t="shared" ref="J3:J66" si="1">D3 / _xlfn.MAXIFS($D:$D, $C:$C, C3)</f>
        <v>0.29988229875646077</v>
      </c>
      <c r="K3">
        <f t="shared" ref="K3:K66" si="2">IF(H3="EV",
0.5 + 0.05*(C3-2022),
0.08 + 0.01*(C3-2022))</f>
        <v>0.09</v>
      </c>
      <c r="L3">
        <f t="shared" ref="L3:L66" si="3">IF(A3="X1",0.85,
IF(A3="X3",0.55,
IF(A3="3 Series",0.6,
IF(A3="5 Series",0.5,
IF(A3="iX1",0.7,
IF(A3="X5",0.3,
IF(A3="M3",0.2,0.5)))))))</f>
        <v>0.85</v>
      </c>
      <c r="M3">
        <f t="shared" ref="M3:M66" si="4">IF(A3="M3",0.92,
IF(A3="X5",0.88,
IF(A3="5 Series",0.82,
IF(A3="X3",0.8,
IF(A3="3 Series",0.78,
IF(A3="iX1",0.85,
IF(A3="X1",0.75,0.7)))))))</f>
        <v>0.75</v>
      </c>
      <c r="N3" s="3" t="s">
        <v>28</v>
      </c>
    </row>
    <row r="4" spans="1:14" x14ac:dyDescent="0.3">
      <c r="A4" t="s">
        <v>8</v>
      </c>
      <c r="B4" t="s">
        <v>15</v>
      </c>
      <c r="C4">
        <v>2024</v>
      </c>
      <c r="D4">
        <v>10390</v>
      </c>
      <c r="E4">
        <v>467550000</v>
      </c>
      <c r="F4">
        <v>45</v>
      </c>
      <c r="G4" t="s">
        <v>18</v>
      </c>
      <c r="H4" t="s">
        <v>20</v>
      </c>
      <c r="I4">
        <f t="shared" si="0"/>
        <v>0.69000000000000006</v>
      </c>
      <c r="J4">
        <f t="shared" si="1"/>
        <v>0.53678445959909071</v>
      </c>
      <c r="K4">
        <f t="shared" si="2"/>
        <v>0.1</v>
      </c>
      <c r="L4">
        <f t="shared" si="3"/>
        <v>0.85</v>
      </c>
      <c r="M4">
        <f t="shared" si="4"/>
        <v>0.75</v>
      </c>
      <c r="N4" s="3" t="s">
        <v>28</v>
      </c>
    </row>
    <row r="5" spans="1:14" x14ac:dyDescent="0.3">
      <c r="A5" t="s">
        <v>8</v>
      </c>
      <c r="B5" t="s">
        <v>15</v>
      </c>
      <c r="C5">
        <v>2025</v>
      </c>
      <c r="D5">
        <v>18418</v>
      </c>
      <c r="E5">
        <v>828810000</v>
      </c>
      <c r="F5">
        <v>45</v>
      </c>
      <c r="G5" t="s">
        <v>18</v>
      </c>
      <c r="H5" t="s">
        <v>20</v>
      </c>
      <c r="I5">
        <f t="shared" si="0"/>
        <v>0.71</v>
      </c>
      <c r="J5">
        <f t="shared" si="1"/>
        <v>1</v>
      </c>
      <c r="K5">
        <f t="shared" si="2"/>
        <v>0.11</v>
      </c>
      <c r="L5">
        <f t="shared" si="3"/>
        <v>0.85</v>
      </c>
      <c r="M5">
        <f t="shared" si="4"/>
        <v>0.75</v>
      </c>
      <c r="N5" s="3" t="s">
        <v>28</v>
      </c>
    </row>
    <row r="6" spans="1:14" x14ac:dyDescent="0.3">
      <c r="A6" t="s">
        <v>8</v>
      </c>
      <c r="B6" t="s">
        <v>16</v>
      </c>
      <c r="C6">
        <v>2022</v>
      </c>
      <c r="D6">
        <v>10191</v>
      </c>
      <c r="E6">
        <v>458595000</v>
      </c>
      <c r="F6">
        <v>45</v>
      </c>
      <c r="G6" t="s">
        <v>18</v>
      </c>
      <c r="H6" t="s">
        <v>20</v>
      </c>
      <c r="I6">
        <f t="shared" si="0"/>
        <v>0.65</v>
      </c>
      <c r="J6">
        <f t="shared" si="1"/>
        <v>0.5225617885345093</v>
      </c>
      <c r="K6">
        <f t="shared" si="2"/>
        <v>0.08</v>
      </c>
      <c r="L6">
        <f t="shared" si="3"/>
        <v>0.85</v>
      </c>
      <c r="M6">
        <f t="shared" si="4"/>
        <v>0.75</v>
      </c>
      <c r="N6" s="3" t="s">
        <v>28</v>
      </c>
    </row>
    <row r="7" spans="1:14" x14ac:dyDescent="0.3">
      <c r="A7" t="s">
        <v>8</v>
      </c>
      <c r="B7" t="s">
        <v>16</v>
      </c>
      <c r="C7">
        <v>2023</v>
      </c>
      <c r="D7">
        <v>16964</v>
      </c>
      <c r="E7">
        <v>763380000</v>
      </c>
      <c r="F7">
        <v>45</v>
      </c>
      <c r="G7" t="s">
        <v>18</v>
      </c>
      <c r="H7" t="s">
        <v>20</v>
      </c>
      <c r="I7">
        <f t="shared" si="0"/>
        <v>0.67</v>
      </c>
      <c r="J7">
        <f t="shared" si="1"/>
        <v>0.86812343278235504</v>
      </c>
      <c r="K7">
        <f t="shared" si="2"/>
        <v>0.09</v>
      </c>
      <c r="L7">
        <f t="shared" si="3"/>
        <v>0.85</v>
      </c>
      <c r="M7">
        <f t="shared" si="4"/>
        <v>0.75</v>
      </c>
      <c r="N7" s="3" t="s">
        <v>28</v>
      </c>
    </row>
    <row r="8" spans="1:14" x14ac:dyDescent="0.3">
      <c r="A8" t="s">
        <v>8</v>
      </c>
      <c r="B8" t="s">
        <v>16</v>
      </c>
      <c r="C8">
        <v>2024</v>
      </c>
      <c r="D8">
        <v>16284</v>
      </c>
      <c r="E8">
        <v>732780000</v>
      </c>
      <c r="F8">
        <v>45</v>
      </c>
      <c r="G8" t="s">
        <v>18</v>
      </c>
      <c r="H8" t="s">
        <v>20</v>
      </c>
      <c r="I8">
        <f t="shared" si="0"/>
        <v>0.69000000000000006</v>
      </c>
      <c r="J8">
        <f t="shared" si="1"/>
        <v>0.84128952262864232</v>
      </c>
      <c r="K8">
        <f t="shared" si="2"/>
        <v>0.1</v>
      </c>
      <c r="L8">
        <f t="shared" si="3"/>
        <v>0.85</v>
      </c>
      <c r="M8">
        <f t="shared" si="4"/>
        <v>0.75</v>
      </c>
      <c r="N8" s="3" t="s">
        <v>28</v>
      </c>
    </row>
    <row r="9" spans="1:14" x14ac:dyDescent="0.3">
      <c r="A9" t="s">
        <v>8</v>
      </c>
      <c r="B9" t="s">
        <v>16</v>
      </c>
      <c r="C9">
        <v>2025</v>
      </c>
      <c r="D9">
        <v>10734</v>
      </c>
      <c r="E9">
        <v>483030000</v>
      </c>
      <c r="F9">
        <v>45</v>
      </c>
      <c r="G9" t="s">
        <v>18</v>
      </c>
      <c r="H9" t="s">
        <v>20</v>
      </c>
      <c r="I9">
        <f t="shared" si="0"/>
        <v>0.71</v>
      </c>
      <c r="J9">
        <f t="shared" si="1"/>
        <v>0.58279943533499834</v>
      </c>
      <c r="K9">
        <f t="shared" si="2"/>
        <v>0.11</v>
      </c>
      <c r="L9">
        <f t="shared" si="3"/>
        <v>0.85</v>
      </c>
      <c r="M9">
        <f t="shared" si="4"/>
        <v>0.75</v>
      </c>
      <c r="N9" s="3" t="s">
        <v>28</v>
      </c>
    </row>
    <row r="10" spans="1:14" x14ac:dyDescent="0.3">
      <c r="A10" t="s">
        <v>8</v>
      </c>
      <c r="B10" t="s">
        <v>17</v>
      </c>
      <c r="C10">
        <v>2022</v>
      </c>
      <c r="D10">
        <v>11265</v>
      </c>
      <c r="E10">
        <v>506925000</v>
      </c>
      <c r="F10">
        <v>45</v>
      </c>
      <c r="G10" t="s">
        <v>18</v>
      </c>
      <c r="H10" t="s">
        <v>20</v>
      </c>
      <c r="I10">
        <f t="shared" si="0"/>
        <v>0.65</v>
      </c>
      <c r="J10">
        <f t="shared" si="1"/>
        <v>0.57763306327556152</v>
      </c>
      <c r="K10">
        <f t="shared" si="2"/>
        <v>0.08</v>
      </c>
      <c r="L10">
        <f t="shared" si="3"/>
        <v>0.85</v>
      </c>
      <c r="M10">
        <f t="shared" si="4"/>
        <v>0.75</v>
      </c>
      <c r="N10" s="3" t="s">
        <v>28</v>
      </c>
    </row>
    <row r="11" spans="1:14" x14ac:dyDescent="0.3">
      <c r="A11" t="s">
        <v>8</v>
      </c>
      <c r="B11" t="s">
        <v>17</v>
      </c>
      <c r="C11">
        <v>2023</v>
      </c>
      <c r="D11">
        <v>5466</v>
      </c>
      <c r="E11">
        <v>245970000</v>
      </c>
      <c r="F11">
        <v>45</v>
      </c>
      <c r="G11" t="s">
        <v>18</v>
      </c>
      <c r="H11" t="s">
        <v>20</v>
      </c>
      <c r="I11">
        <f t="shared" si="0"/>
        <v>0.67</v>
      </c>
      <c r="J11">
        <f t="shared" si="1"/>
        <v>0.27971956399365439</v>
      </c>
      <c r="K11">
        <f t="shared" si="2"/>
        <v>0.09</v>
      </c>
      <c r="L11">
        <f t="shared" si="3"/>
        <v>0.85</v>
      </c>
      <c r="M11">
        <f t="shared" si="4"/>
        <v>0.75</v>
      </c>
      <c r="N11" s="3" t="s">
        <v>28</v>
      </c>
    </row>
    <row r="12" spans="1:14" x14ac:dyDescent="0.3">
      <c r="A12" t="s">
        <v>8</v>
      </c>
      <c r="B12" t="s">
        <v>17</v>
      </c>
      <c r="C12">
        <v>2024</v>
      </c>
      <c r="D12">
        <v>18526</v>
      </c>
      <c r="E12">
        <v>833670000</v>
      </c>
      <c r="F12">
        <v>45</v>
      </c>
      <c r="G12" t="s">
        <v>18</v>
      </c>
      <c r="H12" t="s">
        <v>20</v>
      </c>
      <c r="I12">
        <f t="shared" si="0"/>
        <v>0.69000000000000006</v>
      </c>
      <c r="J12">
        <f t="shared" si="1"/>
        <v>0.95711923951229594</v>
      </c>
      <c r="K12">
        <f t="shared" si="2"/>
        <v>0.1</v>
      </c>
      <c r="L12">
        <f t="shared" si="3"/>
        <v>0.85</v>
      </c>
      <c r="M12">
        <f t="shared" si="4"/>
        <v>0.75</v>
      </c>
      <c r="N12" s="3" t="s">
        <v>28</v>
      </c>
    </row>
    <row r="13" spans="1:14" ht="13.8" customHeight="1" x14ac:dyDescent="0.3">
      <c r="A13" t="s">
        <v>8</v>
      </c>
      <c r="B13" t="s">
        <v>17</v>
      </c>
      <c r="C13">
        <v>2025</v>
      </c>
      <c r="D13">
        <v>9426</v>
      </c>
      <c r="E13">
        <v>424170000</v>
      </c>
      <c r="F13">
        <v>45</v>
      </c>
      <c r="G13" t="s">
        <v>18</v>
      </c>
      <c r="H13" t="s">
        <v>20</v>
      </c>
      <c r="I13">
        <f t="shared" si="0"/>
        <v>0.71</v>
      </c>
      <c r="J13">
        <f t="shared" si="1"/>
        <v>0.51178195243783253</v>
      </c>
      <c r="K13">
        <f t="shared" si="2"/>
        <v>0.11</v>
      </c>
      <c r="L13">
        <f t="shared" si="3"/>
        <v>0.85</v>
      </c>
      <c r="M13">
        <f t="shared" si="4"/>
        <v>0.75</v>
      </c>
      <c r="N13" s="3" t="s">
        <v>28</v>
      </c>
    </row>
    <row r="14" spans="1:14" x14ac:dyDescent="0.3">
      <c r="A14" t="s">
        <v>9</v>
      </c>
      <c r="B14" t="s">
        <v>15</v>
      </c>
      <c r="C14">
        <v>2022</v>
      </c>
      <c r="D14">
        <v>10578</v>
      </c>
      <c r="E14">
        <v>687570000</v>
      </c>
      <c r="F14">
        <v>65</v>
      </c>
      <c r="G14" t="s">
        <v>18</v>
      </c>
      <c r="H14" t="s">
        <v>20</v>
      </c>
      <c r="I14">
        <f t="shared" si="0"/>
        <v>0.65</v>
      </c>
      <c r="J14">
        <f t="shared" si="1"/>
        <v>0.54240590708645264</v>
      </c>
      <c r="K14">
        <f t="shared" si="2"/>
        <v>0.08</v>
      </c>
      <c r="L14">
        <f t="shared" si="3"/>
        <v>0.55000000000000004</v>
      </c>
      <c r="M14">
        <f t="shared" si="4"/>
        <v>0.8</v>
      </c>
      <c r="N14" s="3" t="s">
        <v>29</v>
      </c>
    </row>
    <row r="15" spans="1:14" x14ac:dyDescent="0.3">
      <c r="A15" t="s">
        <v>9</v>
      </c>
      <c r="B15" t="s">
        <v>15</v>
      </c>
      <c r="C15">
        <v>2023</v>
      </c>
      <c r="D15">
        <v>19423</v>
      </c>
      <c r="E15">
        <v>1262495000</v>
      </c>
      <c r="F15">
        <v>65</v>
      </c>
      <c r="G15" t="s">
        <v>18</v>
      </c>
      <c r="H15" t="s">
        <v>20</v>
      </c>
      <c r="I15">
        <f t="shared" si="0"/>
        <v>0.67</v>
      </c>
      <c r="J15">
        <f t="shared" si="1"/>
        <v>0.99396141446190067</v>
      </c>
      <c r="K15">
        <f t="shared" si="2"/>
        <v>0.09</v>
      </c>
      <c r="L15">
        <f t="shared" si="3"/>
        <v>0.55000000000000004</v>
      </c>
      <c r="M15">
        <f t="shared" si="4"/>
        <v>0.8</v>
      </c>
      <c r="N15" s="3" t="s">
        <v>29</v>
      </c>
    </row>
    <row r="16" spans="1:14" x14ac:dyDescent="0.3">
      <c r="A16" t="s">
        <v>9</v>
      </c>
      <c r="B16" t="s">
        <v>15</v>
      </c>
      <c r="C16">
        <v>2024</v>
      </c>
      <c r="D16">
        <v>16636</v>
      </c>
      <c r="E16">
        <v>1081340000</v>
      </c>
      <c r="F16">
        <v>65</v>
      </c>
      <c r="G16" t="s">
        <v>18</v>
      </c>
      <c r="H16" t="s">
        <v>20</v>
      </c>
      <c r="I16">
        <f t="shared" si="0"/>
        <v>0.69000000000000006</v>
      </c>
      <c r="J16">
        <f t="shared" si="1"/>
        <v>0.85947509816077705</v>
      </c>
      <c r="K16">
        <f t="shared" si="2"/>
        <v>0.1</v>
      </c>
      <c r="L16">
        <f t="shared" si="3"/>
        <v>0.55000000000000004</v>
      </c>
      <c r="M16">
        <f t="shared" si="4"/>
        <v>0.8</v>
      </c>
      <c r="N16" s="3" t="s">
        <v>29</v>
      </c>
    </row>
    <row r="17" spans="1:14" x14ac:dyDescent="0.3">
      <c r="A17" t="s">
        <v>9</v>
      </c>
      <c r="B17" t="s">
        <v>15</v>
      </c>
      <c r="C17">
        <v>2025</v>
      </c>
      <c r="D17">
        <v>16363</v>
      </c>
      <c r="E17">
        <v>1063595000</v>
      </c>
      <c r="F17">
        <v>65</v>
      </c>
      <c r="G17" t="s">
        <v>18</v>
      </c>
      <c r="H17" t="s">
        <v>20</v>
      </c>
      <c r="I17">
        <f t="shared" si="0"/>
        <v>0.71</v>
      </c>
      <c r="J17">
        <f t="shared" si="1"/>
        <v>0.8884243674666088</v>
      </c>
      <c r="K17">
        <f t="shared" si="2"/>
        <v>0.11</v>
      </c>
      <c r="L17">
        <f t="shared" si="3"/>
        <v>0.55000000000000004</v>
      </c>
      <c r="M17">
        <f t="shared" si="4"/>
        <v>0.8</v>
      </c>
      <c r="N17" s="3" t="s">
        <v>29</v>
      </c>
    </row>
    <row r="18" spans="1:14" x14ac:dyDescent="0.3">
      <c r="A18" t="s">
        <v>9</v>
      </c>
      <c r="B18" t="s">
        <v>16</v>
      </c>
      <c r="C18">
        <v>2022</v>
      </c>
      <c r="D18">
        <v>16111</v>
      </c>
      <c r="E18">
        <v>1047215000</v>
      </c>
      <c r="F18">
        <v>65</v>
      </c>
      <c r="G18" t="s">
        <v>18</v>
      </c>
      <c r="H18" t="s">
        <v>20</v>
      </c>
      <c r="I18">
        <f t="shared" si="0"/>
        <v>0.65</v>
      </c>
      <c r="J18">
        <f t="shared" si="1"/>
        <v>0.82612039790790692</v>
      </c>
      <c r="K18">
        <f t="shared" si="2"/>
        <v>0.08</v>
      </c>
      <c r="L18">
        <f t="shared" si="3"/>
        <v>0.55000000000000004</v>
      </c>
      <c r="M18">
        <f t="shared" si="4"/>
        <v>0.8</v>
      </c>
      <c r="N18" s="3" t="s">
        <v>29</v>
      </c>
    </row>
    <row r="19" spans="1:14" x14ac:dyDescent="0.3">
      <c r="A19" t="s">
        <v>9</v>
      </c>
      <c r="B19" t="s">
        <v>16</v>
      </c>
      <c r="C19">
        <v>2023</v>
      </c>
      <c r="D19">
        <v>13322</v>
      </c>
      <c r="E19">
        <v>865930000</v>
      </c>
      <c r="F19">
        <v>65</v>
      </c>
      <c r="G19" t="s">
        <v>18</v>
      </c>
      <c r="H19" t="s">
        <v>20</v>
      </c>
      <c r="I19">
        <f t="shared" si="0"/>
        <v>0.67</v>
      </c>
      <c r="J19">
        <f t="shared" si="1"/>
        <v>0.68174607236067752</v>
      </c>
      <c r="K19">
        <f t="shared" si="2"/>
        <v>0.09</v>
      </c>
      <c r="L19">
        <f t="shared" si="3"/>
        <v>0.55000000000000004</v>
      </c>
      <c r="M19">
        <f t="shared" si="4"/>
        <v>0.8</v>
      </c>
      <c r="N19" s="3" t="s">
        <v>29</v>
      </c>
    </row>
    <row r="20" spans="1:14" x14ac:dyDescent="0.3">
      <c r="A20" t="s">
        <v>9</v>
      </c>
      <c r="B20" t="s">
        <v>16</v>
      </c>
      <c r="C20">
        <v>2024</v>
      </c>
      <c r="D20">
        <v>6685</v>
      </c>
      <c r="E20">
        <v>434525000</v>
      </c>
      <c r="F20">
        <v>65</v>
      </c>
      <c r="G20" t="s">
        <v>18</v>
      </c>
      <c r="H20" t="s">
        <v>20</v>
      </c>
      <c r="I20">
        <f t="shared" si="0"/>
        <v>0.69000000000000006</v>
      </c>
      <c r="J20">
        <f t="shared" si="1"/>
        <v>0.34537094441000205</v>
      </c>
      <c r="K20">
        <f t="shared" si="2"/>
        <v>0.1</v>
      </c>
      <c r="L20">
        <f t="shared" si="3"/>
        <v>0.55000000000000004</v>
      </c>
      <c r="M20">
        <f t="shared" si="4"/>
        <v>0.8</v>
      </c>
      <c r="N20" s="3" t="s">
        <v>29</v>
      </c>
    </row>
    <row r="21" spans="1:14" x14ac:dyDescent="0.3">
      <c r="A21" t="s">
        <v>9</v>
      </c>
      <c r="B21" t="s">
        <v>16</v>
      </c>
      <c r="C21">
        <v>2025</v>
      </c>
      <c r="D21">
        <v>5769</v>
      </c>
      <c r="E21">
        <v>374985000</v>
      </c>
      <c r="F21">
        <v>65</v>
      </c>
      <c r="G21" t="s">
        <v>18</v>
      </c>
      <c r="H21" t="s">
        <v>20</v>
      </c>
      <c r="I21">
        <f t="shared" si="0"/>
        <v>0.71</v>
      </c>
      <c r="J21">
        <f t="shared" si="1"/>
        <v>0.31322619176892169</v>
      </c>
      <c r="K21">
        <f t="shared" si="2"/>
        <v>0.11</v>
      </c>
      <c r="L21">
        <f t="shared" si="3"/>
        <v>0.55000000000000004</v>
      </c>
      <c r="M21">
        <f t="shared" si="4"/>
        <v>0.8</v>
      </c>
      <c r="N21" s="3" t="s">
        <v>29</v>
      </c>
    </row>
    <row r="22" spans="1:14" x14ac:dyDescent="0.3">
      <c r="A22" t="s">
        <v>9</v>
      </c>
      <c r="B22" t="s">
        <v>17</v>
      </c>
      <c r="C22">
        <v>2022</v>
      </c>
      <c r="D22">
        <v>15583</v>
      </c>
      <c r="E22">
        <v>1012895000</v>
      </c>
      <c r="F22">
        <v>65</v>
      </c>
      <c r="G22" t="s">
        <v>18</v>
      </c>
      <c r="H22" t="s">
        <v>20</v>
      </c>
      <c r="I22">
        <f t="shared" si="0"/>
        <v>0.65</v>
      </c>
      <c r="J22">
        <f t="shared" si="1"/>
        <v>0.79904625166649579</v>
      </c>
      <c r="K22">
        <f t="shared" si="2"/>
        <v>0.08</v>
      </c>
      <c r="L22">
        <f t="shared" si="3"/>
        <v>0.55000000000000004</v>
      </c>
      <c r="M22">
        <f t="shared" si="4"/>
        <v>0.8</v>
      </c>
      <c r="N22" s="3" t="s">
        <v>29</v>
      </c>
    </row>
    <row r="23" spans="1:14" x14ac:dyDescent="0.3">
      <c r="A23" t="s">
        <v>9</v>
      </c>
      <c r="B23" t="s">
        <v>17</v>
      </c>
      <c r="C23">
        <v>2023</v>
      </c>
      <c r="D23">
        <v>18803</v>
      </c>
      <c r="E23">
        <v>1222195000</v>
      </c>
      <c r="F23">
        <v>65</v>
      </c>
      <c r="G23" t="s">
        <v>18</v>
      </c>
      <c r="H23" t="s">
        <v>20</v>
      </c>
      <c r="I23">
        <f t="shared" si="0"/>
        <v>0.67</v>
      </c>
      <c r="J23">
        <f t="shared" si="1"/>
        <v>0.96223325316002251</v>
      </c>
      <c r="K23">
        <f t="shared" si="2"/>
        <v>0.09</v>
      </c>
      <c r="L23">
        <f t="shared" si="3"/>
        <v>0.55000000000000004</v>
      </c>
      <c r="M23">
        <f t="shared" si="4"/>
        <v>0.8</v>
      </c>
      <c r="N23" s="3" t="s">
        <v>29</v>
      </c>
    </row>
    <row r="24" spans="1:14" x14ac:dyDescent="0.3">
      <c r="A24" t="s">
        <v>9</v>
      </c>
      <c r="B24" t="s">
        <v>17</v>
      </c>
      <c r="C24">
        <v>2024</v>
      </c>
      <c r="D24">
        <v>11949</v>
      </c>
      <c r="E24">
        <v>776685000</v>
      </c>
      <c r="F24">
        <v>65</v>
      </c>
      <c r="G24" t="s">
        <v>18</v>
      </c>
      <c r="H24" t="s">
        <v>20</v>
      </c>
      <c r="I24">
        <f t="shared" si="0"/>
        <v>0.69000000000000006</v>
      </c>
      <c r="J24">
        <f t="shared" si="1"/>
        <v>0.61732796032238069</v>
      </c>
      <c r="K24">
        <f t="shared" si="2"/>
        <v>0.1</v>
      </c>
      <c r="L24">
        <f t="shared" si="3"/>
        <v>0.55000000000000004</v>
      </c>
      <c r="M24">
        <f t="shared" si="4"/>
        <v>0.8</v>
      </c>
      <c r="N24" s="3" t="s">
        <v>29</v>
      </c>
    </row>
    <row r="25" spans="1:14" x14ac:dyDescent="0.3">
      <c r="A25" t="s">
        <v>9</v>
      </c>
      <c r="B25" t="s">
        <v>17</v>
      </c>
      <c r="C25">
        <v>2025</v>
      </c>
      <c r="D25">
        <v>7433</v>
      </c>
      <c r="E25">
        <v>483145000</v>
      </c>
      <c r="F25">
        <v>65</v>
      </c>
      <c r="G25" t="s">
        <v>18</v>
      </c>
      <c r="H25" t="s">
        <v>20</v>
      </c>
      <c r="I25">
        <f t="shared" si="0"/>
        <v>0.71</v>
      </c>
      <c r="J25">
        <f t="shared" si="1"/>
        <v>0.40357259202953633</v>
      </c>
      <c r="K25">
        <f t="shared" si="2"/>
        <v>0.11</v>
      </c>
      <c r="L25">
        <f t="shared" si="3"/>
        <v>0.55000000000000004</v>
      </c>
      <c r="M25">
        <f t="shared" si="4"/>
        <v>0.8</v>
      </c>
      <c r="N25" s="3" t="s">
        <v>29</v>
      </c>
    </row>
    <row r="26" spans="1:14" x14ac:dyDescent="0.3">
      <c r="A26" t="s">
        <v>10</v>
      </c>
      <c r="B26" t="s">
        <v>15</v>
      </c>
      <c r="C26">
        <v>2022</v>
      </c>
      <c r="D26">
        <v>10311</v>
      </c>
      <c r="E26">
        <v>979545000</v>
      </c>
      <c r="F26">
        <v>95</v>
      </c>
      <c r="G26" t="s">
        <v>18</v>
      </c>
      <c r="H26" t="s">
        <v>20</v>
      </c>
      <c r="I26">
        <f t="shared" si="0"/>
        <v>0.15</v>
      </c>
      <c r="J26">
        <f t="shared" si="1"/>
        <v>0.5287150035893754</v>
      </c>
      <c r="K26">
        <f t="shared" si="2"/>
        <v>0.08</v>
      </c>
      <c r="L26">
        <f t="shared" si="3"/>
        <v>0.3</v>
      </c>
      <c r="M26">
        <f t="shared" si="4"/>
        <v>0.88</v>
      </c>
      <c r="N26" s="3" t="s">
        <v>30</v>
      </c>
    </row>
    <row r="27" spans="1:14" x14ac:dyDescent="0.3">
      <c r="A27" t="s">
        <v>10</v>
      </c>
      <c r="B27" t="s">
        <v>15</v>
      </c>
      <c r="C27">
        <v>2023</v>
      </c>
      <c r="D27">
        <v>10051</v>
      </c>
      <c r="E27">
        <v>954845000</v>
      </c>
      <c r="F27">
        <v>95</v>
      </c>
      <c r="G27" t="s">
        <v>18</v>
      </c>
      <c r="H27" t="s">
        <v>20</v>
      </c>
      <c r="I27">
        <f t="shared" si="0"/>
        <v>0.16</v>
      </c>
      <c r="J27">
        <f t="shared" si="1"/>
        <v>0.51435443426641425</v>
      </c>
      <c r="K27">
        <f t="shared" si="2"/>
        <v>0.09</v>
      </c>
      <c r="L27">
        <f t="shared" si="3"/>
        <v>0.3</v>
      </c>
      <c r="M27">
        <f t="shared" si="4"/>
        <v>0.88</v>
      </c>
      <c r="N27" s="3" t="s">
        <v>30</v>
      </c>
    </row>
    <row r="28" spans="1:14" x14ac:dyDescent="0.3">
      <c r="A28" t="s">
        <v>10</v>
      </c>
      <c r="B28" t="s">
        <v>15</v>
      </c>
      <c r="C28">
        <v>2024</v>
      </c>
      <c r="D28">
        <v>11420</v>
      </c>
      <c r="E28">
        <v>1084900000</v>
      </c>
      <c r="F28">
        <v>95</v>
      </c>
      <c r="G28" t="s">
        <v>18</v>
      </c>
      <c r="H28" t="s">
        <v>20</v>
      </c>
      <c r="I28">
        <f t="shared" si="0"/>
        <v>0.16999999999999998</v>
      </c>
      <c r="J28">
        <f t="shared" si="1"/>
        <v>0.58999793345732587</v>
      </c>
      <c r="K28">
        <f t="shared" si="2"/>
        <v>0.1</v>
      </c>
      <c r="L28">
        <f t="shared" si="3"/>
        <v>0.3</v>
      </c>
      <c r="M28">
        <f t="shared" si="4"/>
        <v>0.88</v>
      </c>
      <c r="N28" s="3" t="s">
        <v>30</v>
      </c>
    </row>
    <row r="29" spans="1:14" x14ac:dyDescent="0.3">
      <c r="A29" t="s">
        <v>10</v>
      </c>
      <c r="B29" t="s">
        <v>15</v>
      </c>
      <c r="C29">
        <v>2025</v>
      </c>
      <c r="D29">
        <v>6184</v>
      </c>
      <c r="E29">
        <v>587480000</v>
      </c>
      <c r="F29">
        <v>95</v>
      </c>
      <c r="G29" t="s">
        <v>18</v>
      </c>
      <c r="H29" t="s">
        <v>20</v>
      </c>
      <c r="I29">
        <f t="shared" si="0"/>
        <v>0.18</v>
      </c>
      <c r="J29">
        <f t="shared" si="1"/>
        <v>0.33575849712238026</v>
      </c>
      <c r="K29">
        <f t="shared" si="2"/>
        <v>0.11</v>
      </c>
      <c r="L29">
        <f t="shared" si="3"/>
        <v>0.3</v>
      </c>
      <c r="M29">
        <f t="shared" si="4"/>
        <v>0.88</v>
      </c>
      <c r="N29" s="3" t="s">
        <v>30</v>
      </c>
    </row>
    <row r="30" spans="1:14" x14ac:dyDescent="0.3">
      <c r="A30" t="s">
        <v>10</v>
      </c>
      <c r="B30" t="s">
        <v>16</v>
      </c>
      <c r="C30">
        <v>2022</v>
      </c>
      <c r="D30">
        <v>9555</v>
      </c>
      <c r="E30">
        <v>907725000</v>
      </c>
      <c r="F30">
        <v>95</v>
      </c>
      <c r="G30" t="s">
        <v>18</v>
      </c>
      <c r="H30" t="s">
        <v>20</v>
      </c>
      <c r="I30">
        <f t="shared" si="0"/>
        <v>0.15</v>
      </c>
      <c r="J30">
        <f t="shared" si="1"/>
        <v>0.4899497487437186</v>
      </c>
      <c r="K30">
        <f t="shared" si="2"/>
        <v>0.08</v>
      </c>
      <c r="L30">
        <f t="shared" si="3"/>
        <v>0.3</v>
      </c>
      <c r="M30">
        <f t="shared" si="4"/>
        <v>0.88</v>
      </c>
      <c r="N30" s="3" t="s">
        <v>30</v>
      </c>
    </row>
    <row r="31" spans="1:14" x14ac:dyDescent="0.3">
      <c r="A31" t="s">
        <v>10</v>
      </c>
      <c r="B31" t="s">
        <v>16</v>
      </c>
      <c r="C31">
        <v>2023</v>
      </c>
      <c r="D31">
        <v>8385</v>
      </c>
      <c r="E31">
        <v>796575000</v>
      </c>
      <c r="F31">
        <v>95</v>
      </c>
      <c r="G31" t="s">
        <v>18</v>
      </c>
      <c r="H31" t="s">
        <v>20</v>
      </c>
      <c r="I31">
        <f t="shared" si="0"/>
        <v>0.16</v>
      </c>
      <c r="J31">
        <f t="shared" si="1"/>
        <v>0.42909779438104501</v>
      </c>
      <c r="K31">
        <f t="shared" si="2"/>
        <v>0.09</v>
      </c>
      <c r="L31">
        <f t="shared" si="3"/>
        <v>0.3</v>
      </c>
      <c r="M31">
        <f t="shared" si="4"/>
        <v>0.88</v>
      </c>
      <c r="N31" s="3" t="s">
        <v>30</v>
      </c>
    </row>
    <row r="32" spans="1:14" x14ac:dyDescent="0.3">
      <c r="A32" t="s">
        <v>10</v>
      </c>
      <c r="B32" t="s">
        <v>16</v>
      </c>
      <c r="C32">
        <v>2024</v>
      </c>
      <c r="D32">
        <v>17309</v>
      </c>
      <c r="E32">
        <v>1644355000</v>
      </c>
      <c r="F32">
        <v>95</v>
      </c>
      <c r="G32" t="s">
        <v>18</v>
      </c>
      <c r="H32" t="s">
        <v>20</v>
      </c>
      <c r="I32">
        <f t="shared" si="0"/>
        <v>0.16999999999999998</v>
      </c>
      <c r="J32">
        <f t="shared" si="1"/>
        <v>0.89424467865261414</v>
      </c>
      <c r="K32">
        <f t="shared" si="2"/>
        <v>0.1</v>
      </c>
      <c r="L32">
        <f t="shared" si="3"/>
        <v>0.3</v>
      </c>
      <c r="M32">
        <f t="shared" si="4"/>
        <v>0.88</v>
      </c>
      <c r="N32" s="3" t="s">
        <v>30</v>
      </c>
    </row>
    <row r="33" spans="1:14" x14ac:dyDescent="0.3">
      <c r="A33" t="s">
        <v>10</v>
      </c>
      <c r="B33" t="s">
        <v>16</v>
      </c>
      <c r="C33">
        <v>2025</v>
      </c>
      <c r="D33">
        <v>11396</v>
      </c>
      <c r="E33">
        <v>1082620000</v>
      </c>
      <c r="F33">
        <v>95</v>
      </c>
      <c r="G33" t="s">
        <v>18</v>
      </c>
      <c r="H33" t="s">
        <v>20</v>
      </c>
      <c r="I33">
        <f t="shared" si="0"/>
        <v>0.18</v>
      </c>
      <c r="J33">
        <f t="shared" si="1"/>
        <v>0.61874253447714189</v>
      </c>
      <c r="K33">
        <f t="shared" si="2"/>
        <v>0.11</v>
      </c>
      <c r="L33">
        <f t="shared" si="3"/>
        <v>0.3</v>
      </c>
      <c r="M33">
        <f t="shared" si="4"/>
        <v>0.88</v>
      </c>
      <c r="N33" s="3" t="s">
        <v>30</v>
      </c>
    </row>
    <row r="34" spans="1:14" x14ac:dyDescent="0.3">
      <c r="A34" t="s">
        <v>10</v>
      </c>
      <c r="B34" t="s">
        <v>17</v>
      </c>
      <c r="C34">
        <v>2022</v>
      </c>
      <c r="D34">
        <v>18035</v>
      </c>
      <c r="E34">
        <v>1713325000</v>
      </c>
      <c r="F34">
        <v>95</v>
      </c>
      <c r="G34" t="s">
        <v>18</v>
      </c>
      <c r="H34" t="s">
        <v>20</v>
      </c>
      <c r="I34">
        <f t="shared" si="0"/>
        <v>0.15</v>
      </c>
      <c r="J34">
        <f t="shared" si="1"/>
        <v>0.92477694595426108</v>
      </c>
      <c r="K34">
        <f t="shared" si="2"/>
        <v>0.08</v>
      </c>
      <c r="L34">
        <f t="shared" si="3"/>
        <v>0.3</v>
      </c>
      <c r="M34">
        <f t="shared" si="4"/>
        <v>0.88</v>
      </c>
      <c r="N34" s="3" t="s">
        <v>30</v>
      </c>
    </row>
    <row r="35" spans="1:14" x14ac:dyDescent="0.3">
      <c r="A35" t="s">
        <v>10</v>
      </c>
      <c r="B35" t="s">
        <v>17</v>
      </c>
      <c r="C35">
        <v>2023</v>
      </c>
      <c r="D35">
        <v>16096</v>
      </c>
      <c r="E35">
        <v>1529120000</v>
      </c>
      <c r="F35">
        <v>95</v>
      </c>
      <c r="G35" t="s">
        <v>18</v>
      </c>
      <c r="H35" t="s">
        <v>20</v>
      </c>
      <c r="I35">
        <f t="shared" si="0"/>
        <v>0.16</v>
      </c>
      <c r="J35">
        <f t="shared" si="1"/>
        <v>0.82370400695972568</v>
      </c>
      <c r="K35">
        <f t="shared" si="2"/>
        <v>0.09</v>
      </c>
      <c r="L35">
        <f t="shared" si="3"/>
        <v>0.3</v>
      </c>
      <c r="M35">
        <f t="shared" si="4"/>
        <v>0.88</v>
      </c>
      <c r="N35" s="3" t="s">
        <v>30</v>
      </c>
    </row>
    <row r="36" spans="1:14" x14ac:dyDescent="0.3">
      <c r="A36" t="s">
        <v>10</v>
      </c>
      <c r="B36" t="s">
        <v>17</v>
      </c>
      <c r="C36">
        <v>2024</v>
      </c>
      <c r="D36">
        <v>13666</v>
      </c>
      <c r="E36">
        <v>1298270000</v>
      </c>
      <c r="F36">
        <v>95</v>
      </c>
      <c r="G36" t="s">
        <v>18</v>
      </c>
      <c r="H36" t="s">
        <v>20</v>
      </c>
      <c r="I36">
        <f t="shared" si="0"/>
        <v>0.16999999999999998</v>
      </c>
      <c r="J36">
        <f t="shared" si="1"/>
        <v>0.70603430460839012</v>
      </c>
      <c r="K36">
        <f t="shared" si="2"/>
        <v>0.1</v>
      </c>
      <c r="L36">
        <f t="shared" si="3"/>
        <v>0.3</v>
      </c>
      <c r="M36">
        <f t="shared" si="4"/>
        <v>0.88</v>
      </c>
      <c r="N36" s="3" t="s">
        <v>30</v>
      </c>
    </row>
    <row r="37" spans="1:14" x14ac:dyDescent="0.3">
      <c r="A37" t="s">
        <v>10</v>
      </c>
      <c r="B37" t="s">
        <v>17</v>
      </c>
      <c r="C37">
        <v>2025</v>
      </c>
      <c r="D37">
        <v>14274</v>
      </c>
      <c r="E37">
        <v>1356030000</v>
      </c>
      <c r="F37">
        <v>95</v>
      </c>
      <c r="G37" t="s">
        <v>18</v>
      </c>
      <c r="H37" t="s">
        <v>20</v>
      </c>
      <c r="I37">
        <f t="shared" si="0"/>
        <v>0.18</v>
      </c>
      <c r="J37">
        <f t="shared" si="1"/>
        <v>0.7750027147355848</v>
      </c>
      <c r="K37">
        <f t="shared" si="2"/>
        <v>0.11</v>
      </c>
      <c r="L37">
        <f t="shared" si="3"/>
        <v>0.3</v>
      </c>
      <c r="M37">
        <f t="shared" si="4"/>
        <v>0.88</v>
      </c>
      <c r="N37" s="3" t="s">
        <v>30</v>
      </c>
    </row>
    <row r="38" spans="1:14" x14ac:dyDescent="0.3">
      <c r="A38" t="s">
        <v>11</v>
      </c>
      <c r="B38" t="s">
        <v>15</v>
      </c>
      <c r="C38">
        <v>2022</v>
      </c>
      <c r="D38">
        <v>7558</v>
      </c>
      <c r="E38">
        <v>377900000</v>
      </c>
      <c r="F38">
        <v>50</v>
      </c>
      <c r="G38" t="s">
        <v>19</v>
      </c>
      <c r="H38" t="s">
        <v>20</v>
      </c>
      <c r="I38">
        <f t="shared" si="0"/>
        <v>0.65</v>
      </c>
      <c r="J38">
        <f t="shared" si="1"/>
        <v>0.38754999487232078</v>
      </c>
      <c r="K38">
        <f t="shared" si="2"/>
        <v>0.08</v>
      </c>
      <c r="L38">
        <f t="shared" si="3"/>
        <v>0.6</v>
      </c>
      <c r="M38">
        <f t="shared" si="4"/>
        <v>0.78</v>
      </c>
      <c r="N38" s="3" t="s">
        <v>31</v>
      </c>
    </row>
    <row r="39" spans="1:14" x14ac:dyDescent="0.3">
      <c r="A39" t="s">
        <v>11</v>
      </c>
      <c r="B39" t="s">
        <v>15</v>
      </c>
      <c r="C39">
        <v>2023</v>
      </c>
      <c r="D39">
        <v>12849</v>
      </c>
      <c r="E39">
        <v>642450000</v>
      </c>
      <c r="F39">
        <v>50</v>
      </c>
      <c r="G39" t="s">
        <v>19</v>
      </c>
      <c r="H39" t="s">
        <v>20</v>
      </c>
      <c r="I39">
        <f t="shared" si="0"/>
        <v>0.67</v>
      </c>
      <c r="J39">
        <f t="shared" si="1"/>
        <v>0.65754055575456727</v>
      </c>
      <c r="K39">
        <f t="shared" si="2"/>
        <v>0.09</v>
      </c>
      <c r="L39">
        <f t="shared" si="3"/>
        <v>0.6</v>
      </c>
      <c r="M39">
        <f t="shared" si="4"/>
        <v>0.78</v>
      </c>
      <c r="N39" s="3" t="s">
        <v>31</v>
      </c>
    </row>
    <row r="40" spans="1:14" x14ac:dyDescent="0.3">
      <c r="A40" t="s">
        <v>11</v>
      </c>
      <c r="B40" t="s">
        <v>15</v>
      </c>
      <c r="C40">
        <v>2024</v>
      </c>
      <c r="D40">
        <v>7047</v>
      </c>
      <c r="E40">
        <v>352350000</v>
      </c>
      <c r="F40">
        <v>50</v>
      </c>
      <c r="G40" t="s">
        <v>19</v>
      </c>
      <c r="H40" t="s">
        <v>20</v>
      </c>
      <c r="I40">
        <f t="shared" si="0"/>
        <v>0.69000000000000006</v>
      </c>
      <c r="J40">
        <f t="shared" si="1"/>
        <v>0.36407315561066333</v>
      </c>
      <c r="K40">
        <f t="shared" si="2"/>
        <v>0.1</v>
      </c>
      <c r="L40">
        <f t="shared" si="3"/>
        <v>0.6</v>
      </c>
      <c r="M40">
        <f t="shared" si="4"/>
        <v>0.78</v>
      </c>
      <c r="N40" s="3" t="s">
        <v>31</v>
      </c>
    </row>
    <row r="41" spans="1:14" x14ac:dyDescent="0.3">
      <c r="A41" t="s">
        <v>11</v>
      </c>
      <c r="B41" t="s">
        <v>15</v>
      </c>
      <c r="C41">
        <v>2025</v>
      </c>
      <c r="D41">
        <v>7747</v>
      </c>
      <c r="E41">
        <v>387350000</v>
      </c>
      <c r="F41">
        <v>50</v>
      </c>
      <c r="G41" t="s">
        <v>19</v>
      </c>
      <c r="H41" t="s">
        <v>20</v>
      </c>
      <c r="I41">
        <f t="shared" si="0"/>
        <v>0.71</v>
      </c>
      <c r="J41">
        <f t="shared" si="1"/>
        <v>0.4206211315017917</v>
      </c>
      <c r="K41">
        <f t="shared" si="2"/>
        <v>0.11</v>
      </c>
      <c r="L41">
        <f t="shared" si="3"/>
        <v>0.6</v>
      </c>
      <c r="M41">
        <f t="shared" si="4"/>
        <v>0.78</v>
      </c>
      <c r="N41" s="3" t="s">
        <v>31</v>
      </c>
    </row>
    <row r="42" spans="1:14" x14ac:dyDescent="0.3">
      <c r="A42" t="s">
        <v>11</v>
      </c>
      <c r="B42" t="s">
        <v>16</v>
      </c>
      <c r="C42">
        <v>2022</v>
      </c>
      <c r="D42">
        <v>14167</v>
      </c>
      <c r="E42">
        <v>708350000</v>
      </c>
      <c r="F42">
        <v>50</v>
      </c>
      <c r="G42" t="s">
        <v>19</v>
      </c>
      <c r="H42" t="s">
        <v>20</v>
      </c>
      <c r="I42">
        <f t="shared" si="0"/>
        <v>0.65</v>
      </c>
      <c r="J42">
        <f t="shared" si="1"/>
        <v>0.72643831401907499</v>
      </c>
      <c r="K42">
        <f t="shared" si="2"/>
        <v>0.08</v>
      </c>
      <c r="L42">
        <f t="shared" si="3"/>
        <v>0.6</v>
      </c>
      <c r="M42">
        <f t="shared" si="4"/>
        <v>0.78</v>
      </c>
      <c r="N42" s="3" t="s">
        <v>31</v>
      </c>
    </row>
    <row r="43" spans="1:14" x14ac:dyDescent="0.3">
      <c r="A43" t="s">
        <v>11</v>
      </c>
      <c r="B43" t="s">
        <v>16</v>
      </c>
      <c r="C43">
        <v>2023</v>
      </c>
      <c r="D43">
        <v>14998</v>
      </c>
      <c r="E43">
        <v>749900000</v>
      </c>
      <c r="F43">
        <v>50</v>
      </c>
      <c r="G43" t="s">
        <v>19</v>
      </c>
      <c r="H43" t="s">
        <v>20</v>
      </c>
      <c r="I43">
        <f t="shared" si="0"/>
        <v>0.67</v>
      </c>
      <c r="J43">
        <f t="shared" si="1"/>
        <v>0.76751445678317387</v>
      </c>
      <c r="K43">
        <f t="shared" si="2"/>
        <v>0.09</v>
      </c>
      <c r="L43">
        <f t="shared" si="3"/>
        <v>0.6</v>
      </c>
      <c r="M43">
        <f t="shared" si="4"/>
        <v>0.78</v>
      </c>
      <c r="N43" s="3" t="s">
        <v>31</v>
      </c>
    </row>
    <row r="44" spans="1:14" x14ac:dyDescent="0.3">
      <c r="A44" t="s">
        <v>11</v>
      </c>
      <c r="B44" t="s">
        <v>16</v>
      </c>
      <c r="C44">
        <v>2024</v>
      </c>
      <c r="D44">
        <v>5189</v>
      </c>
      <c r="E44">
        <v>259450000</v>
      </c>
      <c r="F44">
        <v>50</v>
      </c>
      <c r="G44" t="s">
        <v>19</v>
      </c>
      <c r="H44" t="s">
        <v>20</v>
      </c>
      <c r="I44">
        <f t="shared" si="0"/>
        <v>0.69000000000000006</v>
      </c>
      <c r="J44">
        <f t="shared" si="1"/>
        <v>0.26808224839842942</v>
      </c>
      <c r="K44">
        <f t="shared" si="2"/>
        <v>0.1</v>
      </c>
      <c r="L44">
        <f t="shared" si="3"/>
        <v>0.6</v>
      </c>
      <c r="M44">
        <f t="shared" si="4"/>
        <v>0.78</v>
      </c>
      <c r="N44" s="3" t="s">
        <v>31</v>
      </c>
    </row>
    <row r="45" spans="1:14" x14ac:dyDescent="0.3">
      <c r="A45" t="s">
        <v>11</v>
      </c>
      <c r="B45" t="s">
        <v>16</v>
      </c>
      <c r="C45">
        <v>2025</v>
      </c>
      <c r="D45">
        <v>7734</v>
      </c>
      <c r="E45">
        <v>386700000</v>
      </c>
      <c r="F45">
        <v>50</v>
      </c>
      <c r="G45" t="s">
        <v>19</v>
      </c>
      <c r="H45" t="s">
        <v>20</v>
      </c>
      <c r="I45">
        <f t="shared" si="0"/>
        <v>0.71</v>
      </c>
      <c r="J45">
        <f t="shared" si="1"/>
        <v>0.41991530024975565</v>
      </c>
      <c r="K45">
        <f t="shared" si="2"/>
        <v>0.11</v>
      </c>
      <c r="L45">
        <f t="shared" si="3"/>
        <v>0.6</v>
      </c>
      <c r="M45">
        <f t="shared" si="4"/>
        <v>0.78</v>
      </c>
      <c r="N45" s="3" t="s">
        <v>31</v>
      </c>
    </row>
    <row r="46" spans="1:14" x14ac:dyDescent="0.3">
      <c r="A46" t="s">
        <v>11</v>
      </c>
      <c r="B46" t="s">
        <v>17</v>
      </c>
      <c r="C46">
        <v>2022</v>
      </c>
      <c r="D46">
        <v>8005</v>
      </c>
      <c r="E46">
        <v>400250000</v>
      </c>
      <c r="F46">
        <v>50</v>
      </c>
      <c r="G46" t="s">
        <v>19</v>
      </c>
      <c r="H46" t="s">
        <v>20</v>
      </c>
      <c r="I46">
        <f t="shared" si="0"/>
        <v>0.65</v>
      </c>
      <c r="J46">
        <f t="shared" si="1"/>
        <v>0.41047072095169729</v>
      </c>
      <c r="K46">
        <f t="shared" si="2"/>
        <v>0.08</v>
      </c>
      <c r="L46">
        <f t="shared" si="3"/>
        <v>0.6</v>
      </c>
      <c r="M46">
        <f t="shared" si="4"/>
        <v>0.78</v>
      </c>
      <c r="N46" s="3" t="s">
        <v>31</v>
      </c>
    </row>
    <row r="47" spans="1:14" x14ac:dyDescent="0.3">
      <c r="A47" t="s">
        <v>11</v>
      </c>
      <c r="B47" t="s">
        <v>17</v>
      </c>
      <c r="C47">
        <v>2023</v>
      </c>
      <c r="D47">
        <v>9658</v>
      </c>
      <c r="E47">
        <v>482900000</v>
      </c>
      <c r="F47">
        <v>50</v>
      </c>
      <c r="G47" t="s">
        <v>19</v>
      </c>
      <c r="H47" t="s">
        <v>20</v>
      </c>
      <c r="I47">
        <f t="shared" si="0"/>
        <v>0.67</v>
      </c>
      <c r="J47">
        <f t="shared" si="1"/>
        <v>0.49424287395732053</v>
      </c>
      <c r="K47">
        <f t="shared" si="2"/>
        <v>0.09</v>
      </c>
      <c r="L47">
        <f t="shared" si="3"/>
        <v>0.6</v>
      </c>
      <c r="M47">
        <f t="shared" si="4"/>
        <v>0.78</v>
      </c>
      <c r="N47" s="3" t="s">
        <v>31</v>
      </c>
    </row>
    <row r="48" spans="1:14" x14ac:dyDescent="0.3">
      <c r="A48" t="s">
        <v>11</v>
      </c>
      <c r="B48" t="s">
        <v>17</v>
      </c>
      <c r="C48">
        <v>2024</v>
      </c>
      <c r="D48">
        <v>6899</v>
      </c>
      <c r="E48">
        <v>344950000</v>
      </c>
      <c r="F48">
        <v>50</v>
      </c>
      <c r="G48" t="s">
        <v>19</v>
      </c>
      <c r="H48" t="s">
        <v>20</v>
      </c>
      <c r="I48">
        <f t="shared" si="0"/>
        <v>0.69000000000000006</v>
      </c>
      <c r="J48">
        <f t="shared" si="1"/>
        <v>0.35642694771647032</v>
      </c>
      <c r="K48">
        <f t="shared" si="2"/>
        <v>0.1</v>
      </c>
      <c r="L48">
        <f t="shared" si="3"/>
        <v>0.6</v>
      </c>
      <c r="M48">
        <f t="shared" si="4"/>
        <v>0.78</v>
      </c>
      <c r="N48" s="3" t="s">
        <v>31</v>
      </c>
    </row>
    <row r="49" spans="1:14" x14ac:dyDescent="0.3">
      <c r="A49" t="s">
        <v>11</v>
      </c>
      <c r="B49" t="s">
        <v>17</v>
      </c>
      <c r="C49">
        <v>2025</v>
      </c>
      <c r="D49">
        <v>12734</v>
      </c>
      <c r="E49">
        <v>636700000</v>
      </c>
      <c r="F49">
        <v>50</v>
      </c>
      <c r="G49" t="s">
        <v>19</v>
      </c>
      <c r="H49" t="s">
        <v>20</v>
      </c>
      <c r="I49">
        <f t="shared" si="0"/>
        <v>0.71</v>
      </c>
      <c r="J49">
        <f t="shared" si="1"/>
        <v>0.6913888587251602</v>
      </c>
      <c r="K49">
        <f t="shared" si="2"/>
        <v>0.11</v>
      </c>
      <c r="L49">
        <f t="shared" si="3"/>
        <v>0.6</v>
      </c>
      <c r="M49">
        <f t="shared" si="4"/>
        <v>0.78</v>
      </c>
      <c r="N49" s="3" t="s">
        <v>31</v>
      </c>
    </row>
    <row r="50" spans="1:14" x14ac:dyDescent="0.3">
      <c r="A50" t="s">
        <v>12</v>
      </c>
      <c r="B50" t="s">
        <v>15</v>
      </c>
      <c r="C50">
        <v>2022</v>
      </c>
      <c r="D50">
        <v>6267</v>
      </c>
      <c r="E50">
        <v>438690000</v>
      </c>
      <c r="F50">
        <v>70</v>
      </c>
      <c r="G50" t="s">
        <v>19</v>
      </c>
      <c r="H50" t="s">
        <v>20</v>
      </c>
      <c r="I50">
        <f t="shared" si="0"/>
        <v>0.65</v>
      </c>
      <c r="J50">
        <f t="shared" si="1"/>
        <v>0.32135165624038559</v>
      </c>
      <c r="K50">
        <f t="shared" si="2"/>
        <v>0.08</v>
      </c>
      <c r="L50">
        <f t="shared" si="3"/>
        <v>0.5</v>
      </c>
      <c r="M50">
        <f t="shared" si="4"/>
        <v>0.82</v>
      </c>
      <c r="N50" s="3" t="s">
        <v>32</v>
      </c>
    </row>
    <row r="51" spans="1:14" x14ac:dyDescent="0.3">
      <c r="A51" t="s">
        <v>12</v>
      </c>
      <c r="B51" t="s">
        <v>15</v>
      </c>
      <c r="C51">
        <v>2023</v>
      </c>
      <c r="D51">
        <v>6528</v>
      </c>
      <c r="E51">
        <v>456960000</v>
      </c>
      <c r="F51">
        <v>70</v>
      </c>
      <c r="G51" t="s">
        <v>19</v>
      </c>
      <c r="H51" t="s">
        <v>20</v>
      </c>
      <c r="I51">
        <f t="shared" si="0"/>
        <v>0.67</v>
      </c>
      <c r="J51">
        <f t="shared" si="1"/>
        <v>0.33406683383654878</v>
      </c>
      <c r="K51">
        <f t="shared" si="2"/>
        <v>0.09</v>
      </c>
      <c r="L51">
        <f t="shared" si="3"/>
        <v>0.5</v>
      </c>
      <c r="M51">
        <f t="shared" si="4"/>
        <v>0.82</v>
      </c>
      <c r="N51" s="3" t="s">
        <v>32</v>
      </c>
    </row>
    <row r="52" spans="1:14" x14ac:dyDescent="0.3">
      <c r="A52" t="s">
        <v>12</v>
      </c>
      <c r="B52" t="s">
        <v>15</v>
      </c>
      <c r="C52">
        <v>2024</v>
      </c>
      <c r="D52">
        <v>16394</v>
      </c>
      <c r="E52">
        <v>1147580000</v>
      </c>
      <c r="F52">
        <v>70</v>
      </c>
      <c r="G52" t="s">
        <v>19</v>
      </c>
      <c r="H52" t="s">
        <v>20</v>
      </c>
      <c r="I52">
        <f t="shared" si="0"/>
        <v>0.69000000000000006</v>
      </c>
      <c r="J52">
        <f t="shared" si="1"/>
        <v>0.84697251498243442</v>
      </c>
      <c r="K52">
        <f t="shared" si="2"/>
        <v>0.1</v>
      </c>
      <c r="L52">
        <f t="shared" si="3"/>
        <v>0.5</v>
      </c>
      <c r="M52">
        <f t="shared" si="4"/>
        <v>0.82</v>
      </c>
      <c r="N52" s="3" t="s">
        <v>32</v>
      </c>
    </row>
    <row r="53" spans="1:14" x14ac:dyDescent="0.3">
      <c r="A53" t="s">
        <v>12</v>
      </c>
      <c r="B53" t="s">
        <v>15</v>
      </c>
      <c r="C53">
        <v>2025</v>
      </c>
      <c r="D53">
        <v>8556</v>
      </c>
      <c r="E53">
        <v>598920000</v>
      </c>
      <c r="F53">
        <v>70</v>
      </c>
      <c r="G53" t="s">
        <v>19</v>
      </c>
      <c r="H53" t="s">
        <v>20</v>
      </c>
      <c r="I53">
        <f t="shared" si="0"/>
        <v>0.71</v>
      </c>
      <c r="J53">
        <f t="shared" si="1"/>
        <v>0.4645455532631122</v>
      </c>
      <c r="K53">
        <f t="shared" si="2"/>
        <v>0.11</v>
      </c>
      <c r="L53">
        <f t="shared" si="3"/>
        <v>0.5</v>
      </c>
      <c r="M53">
        <f t="shared" si="4"/>
        <v>0.82</v>
      </c>
      <c r="N53" s="3" t="s">
        <v>32</v>
      </c>
    </row>
    <row r="54" spans="1:14" x14ac:dyDescent="0.3">
      <c r="A54" t="s">
        <v>12</v>
      </c>
      <c r="B54" t="s">
        <v>16</v>
      </c>
      <c r="C54">
        <v>2022</v>
      </c>
      <c r="D54">
        <v>8890</v>
      </c>
      <c r="E54">
        <v>622300000</v>
      </c>
      <c r="F54">
        <v>70</v>
      </c>
      <c r="G54" t="s">
        <v>19</v>
      </c>
      <c r="H54" t="s">
        <v>20</v>
      </c>
      <c r="I54">
        <f t="shared" si="0"/>
        <v>0.65</v>
      </c>
      <c r="J54">
        <f t="shared" si="1"/>
        <v>0.45585068198133527</v>
      </c>
      <c r="K54">
        <f t="shared" si="2"/>
        <v>0.08</v>
      </c>
      <c r="L54">
        <f t="shared" si="3"/>
        <v>0.5</v>
      </c>
      <c r="M54">
        <f t="shared" si="4"/>
        <v>0.82</v>
      </c>
      <c r="N54" s="3" t="s">
        <v>32</v>
      </c>
    </row>
    <row r="55" spans="1:14" x14ac:dyDescent="0.3">
      <c r="A55" t="s">
        <v>12</v>
      </c>
      <c r="B55" t="s">
        <v>16</v>
      </c>
      <c r="C55">
        <v>2023</v>
      </c>
      <c r="D55">
        <v>13838</v>
      </c>
      <c r="E55">
        <v>968660000</v>
      </c>
      <c r="F55">
        <v>70</v>
      </c>
      <c r="G55" t="s">
        <v>19</v>
      </c>
      <c r="H55" t="s">
        <v>20</v>
      </c>
      <c r="I55">
        <f t="shared" si="0"/>
        <v>0.67</v>
      </c>
      <c r="J55">
        <f t="shared" si="1"/>
        <v>0.70815209047643413</v>
      </c>
      <c r="K55">
        <f t="shared" si="2"/>
        <v>0.09</v>
      </c>
      <c r="L55">
        <f t="shared" si="3"/>
        <v>0.5</v>
      </c>
      <c r="M55">
        <f t="shared" si="4"/>
        <v>0.82</v>
      </c>
      <c r="N55" s="3" t="s">
        <v>32</v>
      </c>
    </row>
    <row r="56" spans="1:14" x14ac:dyDescent="0.3">
      <c r="A56" t="s">
        <v>12</v>
      </c>
      <c r="B56" t="s">
        <v>16</v>
      </c>
      <c r="C56">
        <v>2024</v>
      </c>
      <c r="D56">
        <v>19356</v>
      </c>
      <c r="E56">
        <v>1354920000</v>
      </c>
      <c r="F56">
        <v>70</v>
      </c>
      <c r="G56" t="s">
        <v>19</v>
      </c>
      <c r="H56" t="s">
        <v>20</v>
      </c>
      <c r="I56">
        <f t="shared" si="0"/>
        <v>0.69000000000000006</v>
      </c>
      <c r="J56">
        <f t="shared" si="1"/>
        <v>1</v>
      </c>
      <c r="K56">
        <f t="shared" si="2"/>
        <v>0.1</v>
      </c>
      <c r="L56">
        <f t="shared" si="3"/>
        <v>0.5</v>
      </c>
      <c r="M56">
        <f t="shared" si="4"/>
        <v>0.82</v>
      </c>
      <c r="N56" s="3" t="s">
        <v>32</v>
      </c>
    </row>
    <row r="57" spans="1:14" x14ac:dyDescent="0.3">
      <c r="A57" t="s">
        <v>12</v>
      </c>
      <c r="B57" t="s">
        <v>16</v>
      </c>
      <c r="C57">
        <v>2025</v>
      </c>
      <c r="D57">
        <v>16080</v>
      </c>
      <c r="E57">
        <v>1125600000</v>
      </c>
      <c r="F57">
        <v>70</v>
      </c>
      <c r="G57" t="s">
        <v>19</v>
      </c>
      <c r="H57" t="s">
        <v>20</v>
      </c>
      <c r="I57">
        <f t="shared" si="0"/>
        <v>0.71</v>
      </c>
      <c r="J57">
        <f t="shared" si="1"/>
        <v>0.87305896405690087</v>
      </c>
      <c r="K57">
        <f t="shared" si="2"/>
        <v>0.11</v>
      </c>
      <c r="L57">
        <f t="shared" si="3"/>
        <v>0.5</v>
      </c>
      <c r="M57">
        <f t="shared" si="4"/>
        <v>0.82</v>
      </c>
      <c r="N57" s="3" t="s">
        <v>32</v>
      </c>
    </row>
    <row r="58" spans="1:14" x14ac:dyDescent="0.3">
      <c r="A58" t="s">
        <v>12</v>
      </c>
      <c r="B58" t="s">
        <v>17</v>
      </c>
      <c r="C58">
        <v>2022</v>
      </c>
      <c r="D58">
        <v>19502</v>
      </c>
      <c r="E58">
        <v>1365140000</v>
      </c>
      <c r="F58">
        <v>70</v>
      </c>
      <c r="G58" t="s">
        <v>19</v>
      </c>
      <c r="H58" t="s">
        <v>20</v>
      </c>
      <c r="I58">
        <f t="shared" si="0"/>
        <v>0.65</v>
      </c>
      <c r="J58">
        <f t="shared" si="1"/>
        <v>1</v>
      </c>
      <c r="K58">
        <f t="shared" si="2"/>
        <v>0.08</v>
      </c>
      <c r="L58">
        <f t="shared" si="3"/>
        <v>0.5</v>
      </c>
      <c r="M58">
        <f t="shared" si="4"/>
        <v>0.82</v>
      </c>
      <c r="N58" s="3" t="s">
        <v>32</v>
      </c>
    </row>
    <row r="59" spans="1:14" x14ac:dyDescent="0.3">
      <c r="A59" t="s">
        <v>12</v>
      </c>
      <c r="B59" t="s">
        <v>17</v>
      </c>
      <c r="C59">
        <v>2023</v>
      </c>
      <c r="D59">
        <v>10393</v>
      </c>
      <c r="E59">
        <v>727510000</v>
      </c>
      <c r="F59">
        <v>70</v>
      </c>
      <c r="G59" t="s">
        <v>19</v>
      </c>
      <c r="H59" t="s">
        <v>20</v>
      </c>
      <c r="I59">
        <f t="shared" si="0"/>
        <v>0.67</v>
      </c>
      <c r="J59">
        <f t="shared" si="1"/>
        <v>0.53185609743615991</v>
      </c>
      <c r="K59">
        <f t="shared" si="2"/>
        <v>0.09</v>
      </c>
      <c r="L59">
        <f t="shared" si="3"/>
        <v>0.5</v>
      </c>
      <c r="M59">
        <f t="shared" si="4"/>
        <v>0.82</v>
      </c>
      <c r="N59" s="3" t="s">
        <v>32</v>
      </c>
    </row>
    <row r="60" spans="1:14" x14ac:dyDescent="0.3">
      <c r="A60" t="s">
        <v>12</v>
      </c>
      <c r="B60" t="s">
        <v>17</v>
      </c>
      <c r="C60">
        <v>2024</v>
      </c>
      <c r="D60">
        <v>15627</v>
      </c>
      <c r="E60">
        <v>1093890000</v>
      </c>
      <c r="F60">
        <v>70</v>
      </c>
      <c r="G60" t="s">
        <v>19</v>
      </c>
      <c r="H60" t="s">
        <v>20</v>
      </c>
      <c r="I60">
        <f t="shared" si="0"/>
        <v>0.69000000000000006</v>
      </c>
      <c r="J60">
        <f t="shared" si="1"/>
        <v>0.8073465592064476</v>
      </c>
      <c r="K60">
        <f t="shared" si="2"/>
        <v>0.1</v>
      </c>
      <c r="L60">
        <f t="shared" si="3"/>
        <v>0.5</v>
      </c>
      <c r="M60">
        <f t="shared" si="4"/>
        <v>0.82</v>
      </c>
      <c r="N60" s="3" t="s">
        <v>32</v>
      </c>
    </row>
    <row r="61" spans="1:14" x14ac:dyDescent="0.3">
      <c r="A61" t="s">
        <v>12</v>
      </c>
      <c r="B61" t="s">
        <v>17</v>
      </c>
      <c r="C61">
        <v>2025</v>
      </c>
      <c r="D61">
        <v>13792</v>
      </c>
      <c r="E61">
        <v>965440000</v>
      </c>
      <c r="F61">
        <v>70</v>
      </c>
      <c r="G61" t="s">
        <v>19</v>
      </c>
      <c r="H61" t="s">
        <v>20</v>
      </c>
      <c r="I61">
        <f t="shared" si="0"/>
        <v>0.71</v>
      </c>
      <c r="J61">
        <f t="shared" si="1"/>
        <v>0.74883266369855572</v>
      </c>
      <c r="K61">
        <f t="shared" si="2"/>
        <v>0.11</v>
      </c>
      <c r="L61">
        <f t="shared" si="3"/>
        <v>0.5</v>
      </c>
      <c r="M61">
        <f t="shared" si="4"/>
        <v>0.82</v>
      </c>
      <c r="N61" s="3" t="s">
        <v>32</v>
      </c>
    </row>
    <row r="62" spans="1:14" x14ac:dyDescent="0.3">
      <c r="A62" t="s">
        <v>13</v>
      </c>
      <c r="B62" t="s">
        <v>15</v>
      </c>
      <c r="C62">
        <v>2022</v>
      </c>
      <c r="D62">
        <v>15555</v>
      </c>
      <c r="E62">
        <v>855525000</v>
      </c>
      <c r="F62">
        <v>55</v>
      </c>
      <c r="G62" t="s">
        <v>18</v>
      </c>
      <c r="H62" t="s">
        <v>21</v>
      </c>
      <c r="I62">
        <f t="shared" si="0"/>
        <v>0.25</v>
      </c>
      <c r="J62">
        <f t="shared" si="1"/>
        <v>0.79761050148702695</v>
      </c>
      <c r="K62">
        <f t="shared" si="2"/>
        <v>0.5</v>
      </c>
      <c r="L62">
        <f t="shared" si="3"/>
        <v>0.7</v>
      </c>
      <c r="M62">
        <f t="shared" si="4"/>
        <v>0.85</v>
      </c>
      <c r="N62" s="3" t="s">
        <v>33</v>
      </c>
    </row>
    <row r="63" spans="1:14" x14ac:dyDescent="0.3">
      <c r="A63" t="s">
        <v>13</v>
      </c>
      <c r="B63" t="s">
        <v>15</v>
      </c>
      <c r="C63">
        <v>2023</v>
      </c>
      <c r="D63">
        <v>15253</v>
      </c>
      <c r="E63">
        <v>838915000</v>
      </c>
      <c r="F63">
        <v>55</v>
      </c>
      <c r="G63" t="s">
        <v>18</v>
      </c>
      <c r="H63" t="s">
        <v>21</v>
      </c>
      <c r="I63">
        <f t="shared" si="0"/>
        <v>0.26500000000000001</v>
      </c>
      <c r="J63">
        <f t="shared" si="1"/>
        <v>0.78056394247991401</v>
      </c>
      <c r="K63">
        <f t="shared" si="2"/>
        <v>0.55000000000000004</v>
      </c>
      <c r="L63">
        <f t="shared" si="3"/>
        <v>0.7</v>
      </c>
      <c r="M63">
        <f t="shared" si="4"/>
        <v>0.85</v>
      </c>
      <c r="N63" s="3" t="s">
        <v>33</v>
      </c>
    </row>
    <row r="64" spans="1:14" x14ac:dyDescent="0.3">
      <c r="A64" t="s">
        <v>13</v>
      </c>
      <c r="B64" t="s">
        <v>15</v>
      </c>
      <c r="C64">
        <v>2024</v>
      </c>
      <c r="D64">
        <v>13433</v>
      </c>
      <c r="E64">
        <v>738815000</v>
      </c>
      <c r="F64">
        <v>55</v>
      </c>
      <c r="G64" t="s">
        <v>18</v>
      </c>
      <c r="H64" t="s">
        <v>21</v>
      </c>
      <c r="I64">
        <f t="shared" si="0"/>
        <v>0.28000000000000003</v>
      </c>
      <c r="J64">
        <f t="shared" si="1"/>
        <v>0.69399669353172144</v>
      </c>
      <c r="K64">
        <f t="shared" si="2"/>
        <v>0.6</v>
      </c>
      <c r="L64">
        <f t="shared" si="3"/>
        <v>0.7</v>
      </c>
      <c r="M64">
        <f t="shared" si="4"/>
        <v>0.85</v>
      </c>
      <c r="N64" s="3" t="s">
        <v>33</v>
      </c>
    </row>
    <row r="65" spans="1:14" x14ac:dyDescent="0.3">
      <c r="A65" t="s">
        <v>13</v>
      </c>
      <c r="B65" t="s">
        <v>15</v>
      </c>
      <c r="C65">
        <v>2025</v>
      </c>
      <c r="D65">
        <v>15233</v>
      </c>
      <c r="E65">
        <v>837815000</v>
      </c>
      <c r="F65">
        <v>55</v>
      </c>
      <c r="G65" t="s">
        <v>18</v>
      </c>
      <c r="H65" t="s">
        <v>21</v>
      </c>
      <c r="I65">
        <f t="shared" si="0"/>
        <v>0.29499999999999998</v>
      </c>
      <c r="J65">
        <f t="shared" si="1"/>
        <v>0.82707134325116738</v>
      </c>
      <c r="K65">
        <f t="shared" si="2"/>
        <v>0.65</v>
      </c>
      <c r="L65">
        <f t="shared" si="3"/>
        <v>0.7</v>
      </c>
      <c r="M65">
        <f t="shared" si="4"/>
        <v>0.85</v>
      </c>
      <c r="N65" s="3" t="s">
        <v>33</v>
      </c>
    </row>
    <row r="66" spans="1:14" x14ac:dyDescent="0.3">
      <c r="A66" t="s">
        <v>13</v>
      </c>
      <c r="B66" t="s">
        <v>16</v>
      </c>
      <c r="C66">
        <v>2022</v>
      </c>
      <c r="D66">
        <v>16016</v>
      </c>
      <c r="E66">
        <v>880880000</v>
      </c>
      <c r="F66">
        <v>55</v>
      </c>
      <c r="G66" t="s">
        <v>18</v>
      </c>
      <c r="H66" t="s">
        <v>21</v>
      </c>
      <c r="I66">
        <f t="shared" si="0"/>
        <v>0.25</v>
      </c>
      <c r="J66">
        <f t="shared" si="1"/>
        <v>0.82124910265613782</v>
      </c>
      <c r="K66">
        <f t="shared" si="2"/>
        <v>0.5</v>
      </c>
      <c r="L66">
        <f t="shared" si="3"/>
        <v>0.7</v>
      </c>
      <c r="M66">
        <f t="shared" si="4"/>
        <v>0.85</v>
      </c>
      <c r="N66" s="3" t="s">
        <v>33</v>
      </c>
    </row>
    <row r="67" spans="1:14" x14ac:dyDescent="0.3">
      <c r="A67" t="s">
        <v>13</v>
      </c>
      <c r="B67" t="s">
        <v>16</v>
      </c>
      <c r="C67">
        <v>2023</v>
      </c>
      <c r="D67">
        <v>12513</v>
      </c>
      <c r="E67">
        <v>688215000</v>
      </c>
      <c r="F67">
        <v>55</v>
      </c>
      <c r="G67" t="s">
        <v>18</v>
      </c>
      <c r="H67" t="s">
        <v>21</v>
      </c>
      <c r="I67">
        <f t="shared" ref="I67:I85" si="5">IF(OR(A67="X1",A67="X3",A67="3 Series",A67="5 Series"),
0.65 + 0.02*(C67-2022),
IF(A67="iX1",
0.25 + 0.015*(C67-2022),
0.15 + 0.01*(C67-2022)))</f>
        <v>0.26500000000000001</v>
      </c>
      <c r="J67">
        <f t="shared" ref="J67:J85" si="6">D67 / _xlfn.MAXIFS($D:$D, $C:$C, C67)</f>
        <v>0.64034593930709793</v>
      </c>
      <c r="K67">
        <f t="shared" ref="K67:K85" si="7">IF(H67="EV",
0.5 + 0.05*(C67-2022),
0.08 + 0.01*(C67-2022))</f>
        <v>0.55000000000000004</v>
      </c>
      <c r="L67">
        <f t="shared" ref="L67:L85" si="8">IF(A67="X1",0.85,
IF(A67="X3",0.55,
IF(A67="3 Series",0.6,
IF(A67="5 Series",0.5,
IF(A67="iX1",0.7,
IF(A67="X5",0.3,
IF(A67="M3",0.2,0.5)))))))</f>
        <v>0.7</v>
      </c>
      <c r="M67">
        <f t="shared" ref="M67:M85" si="9">IF(A67="M3",0.92,
IF(A67="X5",0.88,
IF(A67="5 Series",0.82,
IF(A67="X3",0.8,
IF(A67="3 Series",0.78,
IF(A67="iX1",0.85,
IF(A67="X1",0.75,0.7)))))))</f>
        <v>0.85</v>
      </c>
      <c r="N67" s="3" t="s">
        <v>33</v>
      </c>
    </row>
    <row r="68" spans="1:14" x14ac:dyDescent="0.3">
      <c r="A68" t="s">
        <v>13</v>
      </c>
      <c r="B68" t="s">
        <v>16</v>
      </c>
      <c r="C68">
        <v>2024</v>
      </c>
      <c r="D68">
        <v>7612</v>
      </c>
      <c r="E68">
        <v>418660000</v>
      </c>
      <c r="F68">
        <v>55</v>
      </c>
      <c r="G68" t="s">
        <v>18</v>
      </c>
      <c r="H68" t="s">
        <v>21</v>
      </c>
      <c r="I68">
        <f t="shared" si="5"/>
        <v>0.28000000000000003</v>
      </c>
      <c r="J68">
        <f t="shared" si="6"/>
        <v>0.39326307088241375</v>
      </c>
      <c r="K68">
        <f t="shared" si="7"/>
        <v>0.6</v>
      </c>
      <c r="L68">
        <f t="shared" si="8"/>
        <v>0.7</v>
      </c>
      <c r="M68">
        <f t="shared" si="9"/>
        <v>0.85</v>
      </c>
      <c r="N68" s="3" t="s">
        <v>33</v>
      </c>
    </row>
    <row r="69" spans="1:14" x14ac:dyDescent="0.3">
      <c r="A69" t="s">
        <v>13</v>
      </c>
      <c r="B69" t="s">
        <v>16</v>
      </c>
      <c r="C69">
        <v>2025</v>
      </c>
      <c r="D69">
        <v>12041</v>
      </c>
      <c r="E69">
        <v>662255000</v>
      </c>
      <c r="F69">
        <v>55</v>
      </c>
      <c r="G69" t="s">
        <v>18</v>
      </c>
      <c r="H69" t="s">
        <v>21</v>
      </c>
      <c r="I69">
        <f t="shared" si="5"/>
        <v>0.29499999999999998</v>
      </c>
      <c r="J69">
        <f t="shared" si="6"/>
        <v>0.6537626235204691</v>
      </c>
      <c r="K69">
        <f t="shared" si="7"/>
        <v>0.65</v>
      </c>
      <c r="L69">
        <f t="shared" si="8"/>
        <v>0.7</v>
      </c>
      <c r="M69">
        <f t="shared" si="9"/>
        <v>0.85</v>
      </c>
      <c r="N69" s="3" t="s">
        <v>33</v>
      </c>
    </row>
    <row r="70" spans="1:14" x14ac:dyDescent="0.3">
      <c r="A70" t="s">
        <v>13</v>
      </c>
      <c r="B70" t="s">
        <v>17</v>
      </c>
      <c r="C70">
        <v>2022</v>
      </c>
      <c r="D70">
        <v>14555</v>
      </c>
      <c r="E70">
        <v>800525000</v>
      </c>
      <c r="F70">
        <v>55</v>
      </c>
      <c r="G70" t="s">
        <v>18</v>
      </c>
      <c r="H70" t="s">
        <v>21</v>
      </c>
      <c r="I70">
        <f t="shared" si="5"/>
        <v>0.25</v>
      </c>
      <c r="J70">
        <f t="shared" si="6"/>
        <v>0.74633370936314225</v>
      </c>
      <c r="K70">
        <f t="shared" si="7"/>
        <v>0.5</v>
      </c>
      <c r="L70">
        <f t="shared" si="8"/>
        <v>0.7</v>
      </c>
      <c r="M70">
        <f t="shared" si="9"/>
        <v>0.85</v>
      </c>
      <c r="N70" s="3" t="s">
        <v>33</v>
      </c>
    </row>
    <row r="71" spans="1:14" x14ac:dyDescent="0.3">
      <c r="A71" t="s">
        <v>13</v>
      </c>
      <c r="B71" t="s">
        <v>17</v>
      </c>
      <c r="C71">
        <v>2023</v>
      </c>
      <c r="D71">
        <v>11235</v>
      </c>
      <c r="E71">
        <v>617925000</v>
      </c>
      <c r="F71">
        <v>55</v>
      </c>
      <c r="G71" t="s">
        <v>18</v>
      </c>
      <c r="H71" t="s">
        <v>21</v>
      </c>
      <c r="I71">
        <f t="shared" si="5"/>
        <v>0.26500000000000001</v>
      </c>
      <c r="J71">
        <f t="shared" si="6"/>
        <v>0.57494498746225886</v>
      </c>
      <c r="K71">
        <f t="shared" si="7"/>
        <v>0.55000000000000004</v>
      </c>
      <c r="L71">
        <f t="shared" si="8"/>
        <v>0.7</v>
      </c>
      <c r="M71">
        <f t="shared" si="9"/>
        <v>0.85</v>
      </c>
      <c r="N71" s="3" t="s">
        <v>33</v>
      </c>
    </row>
    <row r="72" spans="1:14" x14ac:dyDescent="0.3">
      <c r="A72" t="s">
        <v>13</v>
      </c>
      <c r="B72" t="s">
        <v>17</v>
      </c>
      <c r="C72">
        <v>2024</v>
      </c>
      <c r="D72">
        <v>10486</v>
      </c>
      <c r="E72">
        <v>576730000</v>
      </c>
      <c r="F72">
        <v>55</v>
      </c>
      <c r="G72" t="s">
        <v>18</v>
      </c>
      <c r="H72" t="s">
        <v>21</v>
      </c>
      <c r="I72">
        <f t="shared" si="5"/>
        <v>0.28000000000000003</v>
      </c>
      <c r="J72">
        <f t="shared" si="6"/>
        <v>0.54174416201694564</v>
      </c>
      <c r="K72">
        <f t="shared" si="7"/>
        <v>0.6</v>
      </c>
      <c r="L72">
        <f t="shared" si="8"/>
        <v>0.7</v>
      </c>
      <c r="M72">
        <f t="shared" si="9"/>
        <v>0.85</v>
      </c>
      <c r="N72" s="3" t="s">
        <v>33</v>
      </c>
    </row>
    <row r="73" spans="1:14" x14ac:dyDescent="0.3">
      <c r="A73" t="s">
        <v>13</v>
      </c>
      <c r="B73" t="s">
        <v>17</v>
      </c>
      <c r="C73">
        <v>2025</v>
      </c>
      <c r="D73">
        <v>12099</v>
      </c>
      <c r="E73">
        <v>665445000</v>
      </c>
      <c r="F73">
        <v>55</v>
      </c>
      <c r="G73" t="s">
        <v>18</v>
      </c>
      <c r="H73" t="s">
        <v>21</v>
      </c>
      <c r="I73">
        <f t="shared" si="5"/>
        <v>0.29499999999999998</v>
      </c>
      <c r="J73">
        <f t="shared" si="6"/>
        <v>0.6569117167987838</v>
      </c>
      <c r="K73">
        <f t="shared" si="7"/>
        <v>0.65</v>
      </c>
      <c r="L73">
        <f t="shared" si="8"/>
        <v>0.7</v>
      </c>
      <c r="M73">
        <f t="shared" si="9"/>
        <v>0.85</v>
      </c>
      <c r="N73" s="3" t="s">
        <v>33</v>
      </c>
    </row>
    <row r="74" spans="1:14" x14ac:dyDescent="0.3">
      <c r="A74" t="s">
        <v>14</v>
      </c>
      <c r="B74" t="s">
        <v>15</v>
      </c>
      <c r="C74">
        <v>2022</v>
      </c>
      <c r="D74">
        <v>14670</v>
      </c>
      <c r="E74">
        <v>1467000000</v>
      </c>
      <c r="F74">
        <v>100</v>
      </c>
      <c r="G74" t="s">
        <v>19</v>
      </c>
      <c r="H74" t="s">
        <v>20</v>
      </c>
      <c r="I74">
        <f t="shared" si="5"/>
        <v>0.15</v>
      </c>
      <c r="J74">
        <f t="shared" si="6"/>
        <v>0.75223054045738902</v>
      </c>
      <c r="K74">
        <f t="shared" si="7"/>
        <v>0.08</v>
      </c>
      <c r="L74">
        <f t="shared" si="8"/>
        <v>0.2</v>
      </c>
      <c r="M74">
        <f t="shared" si="9"/>
        <v>0.92</v>
      </c>
      <c r="N74" s="3" t="s">
        <v>34</v>
      </c>
    </row>
    <row r="75" spans="1:14" x14ac:dyDescent="0.3">
      <c r="A75" t="s">
        <v>14</v>
      </c>
      <c r="B75" t="s">
        <v>15</v>
      </c>
      <c r="C75">
        <v>2023</v>
      </c>
      <c r="D75">
        <v>15748</v>
      </c>
      <c r="E75">
        <v>1574800000</v>
      </c>
      <c r="F75">
        <v>100</v>
      </c>
      <c r="G75" t="s">
        <v>19</v>
      </c>
      <c r="H75" t="s">
        <v>20</v>
      </c>
      <c r="I75">
        <f t="shared" si="5"/>
        <v>0.16</v>
      </c>
      <c r="J75">
        <f t="shared" si="6"/>
        <v>0.8058952970677038</v>
      </c>
      <c r="K75">
        <f t="shared" si="7"/>
        <v>0.09</v>
      </c>
      <c r="L75">
        <f t="shared" si="8"/>
        <v>0.2</v>
      </c>
      <c r="M75">
        <f t="shared" si="9"/>
        <v>0.92</v>
      </c>
      <c r="N75" s="3" t="s">
        <v>34</v>
      </c>
    </row>
    <row r="76" spans="1:14" x14ac:dyDescent="0.3">
      <c r="A76" t="s">
        <v>14</v>
      </c>
      <c r="B76" t="s">
        <v>15</v>
      </c>
      <c r="C76">
        <v>2024</v>
      </c>
      <c r="D76">
        <v>5775</v>
      </c>
      <c r="E76">
        <v>577500000</v>
      </c>
      <c r="F76">
        <v>100</v>
      </c>
      <c r="G76" t="s">
        <v>19</v>
      </c>
      <c r="H76" t="s">
        <v>20</v>
      </c>
      <c r="I76">
        <f t="shared" si="5"/>
        <v>0.16999999999999998</v>
      </c>
      <c r="J76">
        <f t="shared" si="6"/>
        <v>0.29835709857408554</v>
      </c>
      <c r="K76">
        <f t="shared" si="7"/>
        <v>0.1</v>
      </c>
      <c r="L76">
        <f t="shared" si="8"/>
        <v>0.2</v>
      </c>
      <c r="M76">
        <f t="shared" si="9"/>
        <v>0.92</v>
      </c>
      <c r="N76" s="3" t="s">
        <v>34</v>
      </c>
    </row>
    <row r="77" spans="1:14" x14ac:dyDescent="0.3">
      <c r="A77" t="s">
        <v>14</v>
      </c>
      <c r="B77" t="s">
        <v>15</v>
      </c>
      <c r="C77">
        <v>2025</v>
      </c>
      <c r="D77">
        <v>17206</v>
      </c>
      <c r="E77">
        <v>1720600000</v>
      </c>
      <c r="F77">
        <v>100</v>
      </c>
      <c r="G77" t="s">
        <v>19</v>
      </c>
      <c r="H77" t="s">
        <v>20</v>
      </c>
      <c r="I77">
        <f t="shared" si="5"/>
        <v>0.18</v>
      </c>
      <c r="J77">
        <f t="shared" si="6"/>
        <v>0.93419480942556199</v>
      </c>
      <c r="K77">
        <f t="shared" si="7"/>
        <v>0.11</v>
      </c>
      <c r="L77">
        <f t="shared" si="8"/>
        <v>0.2</v>
      </c>
      <c r="M77">
        <f t="shared" si="9"/>
        <v>0.92</v>
      </c>
      <c r="N77" s="3" t="s">
        <v>34</v>
      </c>
    </row>
    <row r="78" spans="1:14" x14ac:dyDescent="0.3">
      <c r="A78" t="s">
        <v>14</v>
      </c>
      <c r="B78" t="s">
        <v>16</v>
      </c>
      <c r="C78">
        <v>2022</v>
      </c>
      <c r="D78">
        <v>13226</v>
      </c>
      <c r="E78">
        <v>1322600000</v>
      </c>
      <c r="F78">
        <v>100</v>
      </c>
      <c r="G78" t="s">
        <v>19</v>
      </c>
      <c r="H78" t="s">
        <v>20</v>
      </c>
      <c r="I78">
        <f t="shared" si="5"/>
        <v>0.15</v>
      </c>
      <c r="J78">
        <f t="shared" si="6"/>
        <v>0.67818685263049938</v>
      </c>
      <c r="K78">
        <f t="shared" si="7"/>
        <v>0.08</v>
      </c>
      <c r="L78">
        <f t="shared" si="8"/>
        <v>0.2</v>
      </c>
      <c r="M78">
        <f t="shared" si="9"/>
        <v>0.92</v>
      </c>
      <c r="N78" s="3" t="s">
        <v>34</v>
      </c>
    </row>
    <row r="79" spans="1:14" x14ac:dyDescent="0.3">
      <c r="A79" t="s">
        <v>14</v>
      </c>
      <c r="B79" t="s">
        <v>16</v>
      </c>
      <c r="C79">
        <v>2023</v>
      </c>
      <c r="D79">
        <v>19541</v>
      </c>
      <c r="E79">
        <v>1954100000</v>
      </c>
      <c r="F79">
        <v>100</v>
      </c>
      <c r="G79" t="s">
        <v>19</v>
      </c>
      <c r="H79" t="s">
        <v>20</v>
      </c>
      <c r="I79">
        <f t="shared" si="5"/>
        <v>0.16</v>
      </c>
      <c r="J79">
        <f t="shared" si="6"/>
        <v>1</v>
      </c>
      <c r="K79">
        <f t="shared" si="7"/>
        <v>0.09</v>
      </c>
      <c r="L79">
        <f t="shared" si="8"/>
        <v>0.2</v>
      </c>
      <c r="M79">
        <f t="shared" si="9"/>
        <v>0.92</v>
      </c>
      <c r="N79" s="3" t="s">
        <v>34</v>
      </c>
    </row>
    <row r="80" spans="1:14" x14ac:dyDescent="0.3">
      <c r="A80" t="s">
        <v>14</v>
      </c>
      <c r="B80" t="s">
        <v>16</v>
      </c>
      <c r="C80">
        <v>2024</v>
      </c>
      <c r="D80">
        <v>8152</v>
      </c>
      <c r="E80">
        <v>815200000</v>
      </c>
      <c r="F80">
        <v>100</v>
      </c>
      <c r="G80" t="s">
        <v>19</v>
      </c>
      <c r="H80" t="s">
        <v>20</v>
      </c>
      <c r="I80">
        <f t="shared" si="5"/>
        <v>0.16999999999999998</v>
      </c>
      <c r="J80">
        <f t="shared" si="6"/>
        <v>0.42116139698284771</v>
      </c>
      <c r="K80">
        <f t="shared" si="7"/>
        <v>0.1</v>
      </c>
      <c r="L80">
        <f t="shared" si="8"/>
        <v>0.2</v>
      </c>
      <c r="M80">
        <f t="shared" si="9"/>
        <v>0.92</v>
      </c>
      <c r="N80" s="3" t="s">
        <v>34</v>
      </c>
    </row>
    <row r="81" spans="1:14" x14ac:dyDescent="0.3">
      <c r="A81" t="s">
        <v>14</v>
      </c>
      <c r="B81" t="s">
        <v>16</v>
      </c>
      <c r="C81">
        <v>2025</v>
      </c>
      <c r="D81">
        <v>15147</v>
      </c>
      <c r="E81">
        <v>1514700000</v>
      </c>
      <c r="F81">
        <v>100</v>
      </c>
      <c r="G81" t="s">
        <v>19</v>
      </c>
      <c r="H81" t="s">
        <v>20</v>
      </c>
      <c r="I81">
        <f t="shared" si="5"/>
        <v>0.18</v>
      </c>
      <c r="J81">
        <f t="shared" si="6"/>
        <v>0.82240199804539038</v>
      </c>
      <c r="K81">
        <f t="shared" si="7"/>
        <v>0.11</v>
      </c>
      <c r="L81">
        <f t="shared" si="8"/>
        <v>0.2</v>
      </c>
      <c r="M81">
        <f t="shared" si="9"/>
        <v>0.92</v>
      </c>
      <c r="N81" s="3" t="s">
        <v>34</v>
      </c>
    </row>
    <row r="82" spans="1:14" x14ac:dyDescent="0.3">
      <c r="A82" t="s">
        <v>14</v>
      </c>
      <c r="B82" t="s">
        <v>17</v>
      </c>
      <c r="C82">
        <v>2022</v>
      </c>
      <c r="D82">
        <v>6585</v>
      </c>
      <c r="E82">
        <v>658500000</v>
      </c>
      <c r="F82">
        <v>100</v>
      </c>
      <c r="G82" t="s">
        <v>19</v>
      </c>
      <c r="H82" t="s">
        <v>20</v>
      </c>
      <c r="I82">
        <f t="shared" si="5"/>
        <v>0.15</v>
      </c>
      <c r="J82">
        <f t="shared" si="6"/>
        <v>0.33765767613578096</v>
      </c>
      <c r="K82">
        <f t="shared" si="7"/>
        <v>0.08</v>
      </c>
      <c r="L82">
        <f t="shared" si="8"/>
        <v>0.2</v>
      </c>
      <c r="M82">
        <f t="shared" si="9"/>
        <v>0.92</v>
      </c>
      <c r="N82" s="3" t="s">
        <v>34</v>
      </c>
    </row>
    <row r="83" spans="1:14" x14ac:dyDescent="0.3">
      <c r="A83" t="s">
        <v>14</v>
      </c>
      <c r="B83" t="s">
        <v>17</v>
      </c>
      <c r="C83">
        <v>2023</v>
      </c>
      <c r="D83">
        <v>8943</v>
      </c>
      <c r="E83">
        <v>894300000</v>
      </c>
      <c r="F83">
        <v>100</v>
      </c>
      <c r="G83" t="s">
        <v>19</v>
      </c>
      <c r="H83" t="s">
        <v>20</v>
      </c>
      <c r="I83">
        <f t="shared" si="5"/>
        <v>0.16</v>
      </c>
      <c r="J83">
        <f t="shared" si="6"/>
        <v>0.45765313955273529</v>
      </c>
      <c r="K83">
        <f t="shared" si="7"/>
        <v>0.09</v>
      </c>
      <c r="L83">
        <f t="shared" si="8"/>
        <v>0.2</v>
      </c>
      <c r="M83">
        <f t="shared" si="9"/>
        <v>0.92</v>
      </c>
      <c r="N83" s="3" t="s">
        <v>34</v>
      </c>
    </row>
    <row r="84" spans="1:14" x14ac:dyDescent="0.3">
      <c r="A84" t="s">
        <v>14</v>
      </c>
      <c r="B84" t="s">
        <v>17</v>
      </c>
      <c r="C84">
        <v>2024</v>
      </c>
      <c r="D84">
        <v>12555</v>
      </c>
      <c r="E84">
        <v>1255500000</v>
      </c>
      <c r="F84">
        <v>100</v>
      </c>
      <c r="G84" t="s">
        <v>19</v>
      </c>
      <c r="H84" t="s">
        <v>20</v>
      </c>
      <c r="I84">
        <f t="shared" si="5"/>
        <v>0.16999999999999998</v>
      </c>
      <c r="J84">
        <f t="shared" si="6"/>
        <v>0.64863608183508992</v>
      </c>
      <c r="K84">
        <f t="shared" si="7"/>
        <v>0.1</v>
      </c>
      <c r="L84">
        <f t="shared" si="8"/>
        <v>0.2</v>
      </c>
      <c r="M84">
        <f t="shared" si="9"/>
        <v>0.92</v>
      </c>
      <c r="N84" s="3" t="s">
        <v>34</v>
      </c>
    </row>
    <row r="85" spans="1:14" x14ac:dyDescent="0.3">
      <c r="A85" t="s">
        <v>14</v>
      </c>
      <c r="B85" t="s">
        <v>17</v>
      </c>
      <c r="C85">
        <v>2025</v>
      </c>
      <c r="D85">
        <v>8073</v>
      </c>
      <c r="E85">
        <v>807300000</v>
      </c>
      <c r="F85">
        <v>100</v>
      </c>
      <c r="G85" t="s">
        <v>19</v>
      </c>
      <c r="H85" t="s">
        <v>20</v>
      </c>
      <c r="I85">
        <f t="shared" si="5"/>
        <v>0.18</v>
      </c>
      <c r="J85">
        <f t="shared" si="6"/>
        <v>0.43832120751438808</v>
      </c>
      <c r="K85">
        <f t="shared" si="7"/>
        <v>0.11</v>
      </c>
      <c r="L85">
        <f t="shared" si="8"/>
        <v>0.2</v>
      </c>
      <c r="M85">
        <f t="shared" si="9"/>
        <v>0.92</v>
      </c>
      <c r="N85" s="3" t="s">
        <v>34</v>
      </c>
    </row>
  </sheetData>
  <hyperlinks>
    <hyperlink ref="N2" r:id="rId1" xr:uid="{6686DE50-03E2-4630-A47A-D4377B51032B}"/>
    <hyperlink ref="N3:N13" r:id="rId2" display="https://raw.githubusercontent.com/shaikrijwana475/BMW-X1-BG/0c506e068c8e3685e655c08046f058f886aa81d9/BMW%20X1.png" xr:uid="{6EAF76DF-99DF-4A17-999C-FDEBE539F611}"/>
    <hyperlink ref="N14" r:id="rId3" xr:uid="{C41F0771-D18C-48EF-B725-5F2277083FDD}"/>
    <hyperlink ref="N15:N25" r:id="rId4" display="https://raw.githubusercontent.com/shaikrijwana475/BMW-X1-BG/8d556b16a6f0578ea7bb5843650b030ce9161ec2/bmw-x3.png" xr:uid="{57E681EA-6B25-4B33-8E67-9E7FFF51DC31}"/>
    <hyperlink ref="N26" r:id="rId5" xr:uid="{9FFD9849-EA55-471E-A948-1FF2D1209458}"/>
    <hyperlink ref="N27:N37" r:id="rId6" display="https://raw.githubusercontent.com/shaikrijwana475/BMW-X1-BG/a5fdbbbcad56abb8f9aa4350bbff837ba62d85eb/BMW%20X5%20BACK%20GROUND.jpeg" xr:uid="{8284A374-9515-4A3F-BB40-E19BD63E8C7D}"/>
    <hyperlink ref="N38" r:id="rId7" xr:uid="{F166CB86-7A11-4A70-9D8B-845EBE5C82BF}"/>
    <hyperlink ref="N39:N49" r:id="rId8" display="https://raw.githubusercontent.com/shaikrijwana475/BMW-X1-BG/24f50107a9607959843d2417db64a433aae8bea3/BMW%203%20SERIES.jpeg" xr:uid="{A05E9E2F-7D89-488C-8617-96239AE63FB1}"/>
    <hyperlink ref="N50" r:id="rId9" xr:uid="{962FF9FD-EAE5-438C-974C-902216EEED5F}"/>
    <hyperlink ref="N51:N60" r:id="rId10" display="https://raw.githubusercontent.com/shaikrijwana475/BMW-X1-BG/5c8df1c5b2b2df6933f875809dcccaf053cc3d25/BMW%205%20SERIES.jpeg" xr:uid="{55C8682A-983E-4E28-A030-530EE628B9FC}"/>
    <hyperlink ref="N61" r:id="rId11" xr:uid="{6367D902-3EEE-4B1D-8042-310EA9BE4892}"/>
    <hyperlink ref="N62" r:id="rId12" xr:uid="{8F53C102-98B2-4AF4-9A20-2AF7E5A3C959}"/>
    <hyperlink ref="N63:N73" r:id="rId13" display="https://raw.githubusercontent.com/shaikrijwana475/BMW-X1-BG/5dfb05cba079d5e1ffab0ae9a5dcc48ccca46418/BMW%20iX1.jpeg" xr:uid="{C873E3EC-D0D6-4FFD-8EC1-5474C8BA33DF}"/>
    <hyperlink ref="N74" r:id="rId14" xr:uid="{C661DE63-982E-459E-9F8F-E9E12B607CCA}"/>
    <hyperlink ref="N75:N85" r:id="rId15" display="https://raw.githubusercontent.com/shaikrijwana475/BMW-X1-BG/648f28c5fa917ca483b4d6c7aaf819c8eff6ac1d/BMW%20M3.jpeg" xr:uid="{7BBA6A9E-898D-413B-BA3C-0EDDB7E9E7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shaikrijwana475@gmail.com</cp:lastModifiedBy>
  <dcterms:created xsi:type="dcterms:W3CDTF">2026-03-31T15:10:21Z</dcterms:created>
  <dcterms:modified xsi:type="dcterms:W3CDTF">2026-04-01T12:47:43Z</dcterms:modified>
</cp:coreProperties>
</file>